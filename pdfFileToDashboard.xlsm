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202300"/>
  <mc:AlternateContent xmlns:mc="http://schemas.openxmlformats.org/markup-compatibility/2006">
    <mc:Choice Requires="x15">
      <x15ac:absPath xmlns:x15ac="http://schemas.microsoft.com/office/spreadsheetml/2010/11/ac" url="C:\Users\pokem\OneDrive\Desktop\Portfolio 2025\"/>
    </mc:Choice>
  </mc:AlternateContent>
  <xr:revisionPtr revIDLastSave="0" documentId="13_ncr:1_{09EA9115-2CA0-4806-B631-3649FE85C636}" xr6:coauthVersionLast="47" xr6:coauthVersionMax="47" xr10:uidLastSave="{00000000-0000-0000-0000-000000000000}"/>
  <bookViews>
    <workbookView xWindow="-108" yWindow="-108" windowWidth="23256" windowHeight="12456" activeTab="2" xr2:uid="{1F7D5AB2-99A6-4D18-AC69-0C15F02C4ADB}"/>
  </bookViews>
  <sheets>
    <sheet name="Raw Data" sheetId="7" r:id="rId1"/>
    <sheet name="Designed Data" sheetId="1" r:id="rId2"/>
    <sheet name="Dashboard" sheetId="11" r:id="rId3"/>
    <sheet name="PivotTable" sheetId="9" state="hidden" r:id="rId4"/>
  </sheets>
  <definedNames>
    <definedName name="_xlnm._FilterDatabase" localSheetId="1" hidden="1">'Designed Data'!$B$5:$H$100</definedName>
    <definedName name="ExternalData_1" localSheetId="0" hidden="1">'Raw Data'!$B$3:$H$103</definedName>
    <definedName name="FromArray_1">_xlfn.ANCHORARRAY(PivotTable!$E$2)</definedName>
    <definedName name="Slicer_CATEGORY">#N/A</definedName>
    <definedName name="Slicer_Quarters__DATE">#N/A</definedName>
  </definedNames>
  <calcPr calcId="191029"/>
  <pivotCaches>
    <pivotCache cacheId="5" r:id="rId5"/>
    <pivotCache cacheId="6"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001  Page 1_6f41fcca-9ae5-4a97-b976-1f348a53a716" name="Table001  Page 1" connection="Query - Table001 (Page 1)"/>
          <x15:modelTable id="Table002  Page 2_bf59c3f1-ab69-45e1-9f52-6e912b27fdd3" name="Table002  Page 2" connection="Query - Table002 (Page 2)"/>
          <x15:modelTable id="Table003  Page 3_51acf2b1-f46f-43c9-90eb-5603583bc58e" name="Table003  Page 3" connection="Query - Table003 (Page 3)"/>
          <x15:modelTable id="Table004  Page 4_15799bf0-0340-49f4-95cf-f1139cfbdb20" name="Table004  Page 4" connection="Query - Table004 (Page 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7" i="9" l="1"/>
  <c r="E67" i="9"/>
  <c r="F66" i="9"/>
  <c r="E66" i="9"/>
  <c r="F65" i="9"/>
  <c r="E65" i="9"/>
  <c r="F64" i="9"/>
  <c r="E64" i="9"/>
  <c r="F63" i="9"/>
  <c r="E63" i="9"/>
  <c r="F62" i="9"/>
  <c r="E62" i="9"/>
  <c r="F61" i="9"/>
  <c r="E61" i="9"/>
  <c r="F60" i="9"/>
  <c r="E60" i="9"/>
  <c r="F59" i="9"/>
  <c r="E59" i="9"/>
  <c r="F58" i="9"/>
  <c r="E58" i="9"/>
  <c r="F57" i="9"/>
  <c r="E57" i="9"/>
  <c r="F56" i="9"/>
  <c r="E56" i="9"/>
  <c r="F55" i="9"/>
  <c r="E55" i="9"/>
  <c r="F54" i="9"/>
  <c r="E54" i="9"/>
  <c r="F53" i="9"/>
  <c r="E53" i="9"/>
  <c r="F52" i="9"/>
  <c r="E52" i="9"/>
  <c r="F51" i="9"/>
  <c r="E51" i="9"/>
  <c r="F50" i="9"/>
  <c r="E50" i="9"/>
  <c r="F49" i="9"/>
  <c r="E49" i="9"/>
  <c r="F48" i="9"/>
  <c r="E48" i="9"/>
  <c r="F47" i="9"/>
  <c r="E47" i="9"/>
  <c r="F46" i="9"/>
  <c r="E46" i="9"/>
  <c r="F45" i="9"/>
  <c r="E45" i="9"/>
  <c r="F44" i="9"/>
  <c r="E44" i="9"/>
  <c r="F43" i="9"/>
  <c r="E43" i="9"/>
  <c r="F42" i="9"/>
  <c r="E42" i="9"/>
  <c r="F41" i="9"/>
  <c r="E41" i="9"/>
  <c r="F40" i="9"/>
  <c r="E40" i="9"/>
  <c r="F39" i="9"/>
  <c r="E39" i="9"/>
  <c r="F38" i="9"/>
  <c r="E38" i="9"/>
  <c r="F37" i="9"/>
  <c r="E37" i="9"/>
  <c r="F36" i="9"/>
  <c r="E36" i="9"/>
  <c r="F35" i="9"/>
  <c r="E35" i="9"/>
  <c r="F34" i="9"/>
  <c r="E34" i="9"/>
  <c r="F33" i="9"/>
  <c r="E33" i="9"/>
  <c r="F32" i="9"/>
  <c r="E32" i="9"/>
  <c r="F31" i="9"/>
  <c r="E31" i="9"/>
  <c r="F30" i="9"/>
  <c r="E30" i="9"/>
  <c r="F29" i="9"/>
  <c r="E29" i="9"/>
  <c r="F28" i="9"/>
  <c r="E28" i="9"/>
  <c r="F27" i="9"/>
  <c r="E27" i="9"/>
  <c r="F26" i="9"/>
  <c r="E26" i="9"/>
  <c r="F25" i="9"/>
  <c r="E25" i="9"/>
  <c r="F24" i="9"/>
  <c r="E24" i="9"/>
  <c r="F23" i="9"/>
  <c r="E23" i="9"/>
  <c r="F22" i="9"/>
  <c r="E22" i="9"/>
  <c r="F21" i="9"/>
  <c r="E21" i="9"/>
  <c r="F20" i="9"/>
  <c r="E20" i="9"/>
  <c r="F19" i="9"/>
  <c r="E19" i="9"/>
  <c r="F18" i="9"/>
  <c r="E18" i="9"/>
  <c r="F17" i="9"/>
  <c r="E17" i="9"/>
  <c r="F16" i="9"/>
  <c r="E16" i="9"/>
  <c r="F15" i="9"/>
  <c r="E15" i="9"/>
  <c r="F14" i="9"/>
  <c r="E14" i="9"/>
  <c r="F13" i="9"/>
  <c r="E13" i="9"/>
  <c r="F12" i="9"/>
  <c r="E12" i="9"/>
  <c r="F11" i="9"/>
  <c r="E11" i="9"/>
  <c r="F10" i="9"/>
  <c r="E10" i="9"/>
  <c r="F9" i="9"/>
  <c r="E9" i="9"/>
  <c r="F8" i="9"/>
  <c r="E8" i="9"/>
  <c r="F7" i="9"/>
  <c r="E7" i="9"/>
  <c r="F6" i="9"/>
  <c r="E6" i="9"/>
  <c r="F5" i="9"/>
  <c r="E5" i="9"/>
  <c r="F4" i="9"/>
  <c r="E4" i="9"/>
  <c r="F3" i="9"/>
  <c r="E3" i="9"/>
  <c r="F2" i="9"/>
  <c r="E2" i="9"/>
  <c r="R5" i="11"/>
  <c r="M5" i="11"/>
  <c r="F5" i="11"/>
  <c r="J100" i="1"/>
  <c r="I100" i="1"/>
  <c r="J99" i="1"/>
  <c r="I99" i="1"/>
  <c r="J98" i="1"/>
  <c r="I98" i="1"/>
  <c r="J97" i="1"/>
  <c r="I97" i="1"/>
  <c r="J96" i="1"/>
  <c r="I96" i="1"/>
  <c r="J95" i="1"/>
  <c r="I95" i="1"/>
  <c r="J94" i="1"/>
  <c r="I94" i="1"/>
  <c r="J93" i="1"/>
  <c r="I93" i="1"/>
  <c r="J92" i="1"/>
  <c r="I92" i="1"/>
  <c r="J91" i="1"/>
  <c r="I91" i="1"/>
  <c r="J90" i="1"/>
  <c r="I90" i="1"/>
  <c r="J89" i="1"/>
  <c r="I89" i="1"/>
  <c r="J88" i="1"/>
  <c r="I88" i="1"/>
  <c r="J87" i="1"/>
  <c r="I87" i="1"/>
  <c r="J86" i="1"/>
  <c r="I86" i="1"/>
  <c r="J85" i="1"/>
  <c r="I85" i="1"/>
  <c r="J84" i="1"/>
  <c r="I84" i="1"/>
  <c r="J83" i="1"/>
  <c r="I83" i="1"/>
  <c r="J82" i="1"/>
  <c r="I82" i="1"/>
  <c r="J81" i="1"/>
  <c r="I81" i="1"/>
  <c r="J80" i="1"/>
  <c r="I80" i="1"/>
  <c r="J79" i="1"/>
  <c r="I79" i="1"/>
  <c r="J78" i="1"/>
  <c r="I78" i="1"/>
  <c r="J77" i="1"/>
  <c r="I77" i="1"/>
  <c r="J76" i="1"/>
  <c r="I76" i="1"/>
  <c r="J75" i="1"/>
  <c r="I75" i="1"/>
  <c r="J74" i="1"/>
  <c r="I74" i="1"/>
  <c r="J73" i="1"/>
  <c r="I73" i="1"/>
  <c r="J72" i="1"/>
  <c r="I72" i="1"/>
  <c r="J71" i="1"/>
  <c r="I71" i="1"/>
  <c r="J70" i="1"/>
  <c r="I70" i="1"/>
  <c r="J69" i="1"/>
  <c r="I69" i="1"/>
  <c r="J68" i="1"/>
  <c r="I68" i="1"/>
  <c r="J67" i="1"/>
  <c r="I67" i="1"/>
  <c r="J66" i="1"/>
  <c r="I66" i="1"/>
  <c r="J65" i="1"/>
  <c r="I65" i="1"/>
  <c r="J64" i="1"/>
  <c r="I64" i="1"/>
  <c r="J63" i="1"/>
  <c r="I63" i="1"/>
  <c r="J62" i="1"/>
  <c r="I62" i="1"/>
  <c r="J61" i="1"/>
  <c r="I61" i="1"/>
  <c r="J60" i="1"/>
  <c r="I60" i="1"/>
  <c r="J59" i="1"/>
  <c r="I59" i="1"/>
  <c r="J58" i="1"/>
  <c r="I58" i="1"/>
  <c r="J57" i="1"/>
  <c r="I57" i="1"/>
  <c r="J56" i="1"/>
  <c r="I56" i="1"/>
  <c r="J55" i="1"/>
  <c r="I55" i="1"/>
  <c r="J54" i="1"/>
  <c r="I54" i="1"/>
  <c r="J53" i="1"/>
  <c r="I53" i="1"/>
  <c r="J52" i="1"/>
  <c r="I52" i="1"/>
  <c r="J51" i="1"/>
  <c r="I51" i="1"/>
  <c r="J50" i="1"/>
  <c r="I50" i="1"/>
  <c r="J49" i="1"/>
  <c r="I49" i="1"/>
  <c r="J48" i="1"/>
  <c r="I48" i="1"/>
  <c r="J47" i="1"/>
  <c r="I47" i="1"/>
  <c r="J46" i="1"/>
  <c r="I46" i="1"/>
  <c r="J45" i="1"/>
  <c r="I45" i="1"/>
  <c r="J44" i="1"/>
  <c r="I44" i="1"/>
  <c r="J43" i="1"/>
  <c r="I43" i="1"/>
  <c r="J42" i="1"/>
  <c r="I42" i="1"/>
  <c r="J41" i="1"/>
  <c r="I41" i="1"/>
  <c r="J40" i="1"/>
  <c r="I40" i="1"/>
  <c r="J39" i="1"/>
  <c r="I39" i="1"/>
  <c r="J38" i="1"/>
  <c r="I38" i="1"/>
  <c r="J37" i="1"/>
  <c r="I37" i="1"/>
  <c r="J36" i="1"/>
  <c r="I36"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J6" i="1"/>
  <c r="I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tc={7D2F7ADD-69AA-474B-8D0D-14734A971A33}</author>
  </authors>
  <commentList>
    <comment ref="B5" authorId="0" shapeId="0" xr:uid="{7D2F7ADD-69AA-474B-8D0D-14734A971A33}">
      <text>
        <t>[Threaded comment]
Your version of Excel allows you to read this threaded comment; however, any edits to it will get removed if the file is opened in a newer version of Excel. Learn more: https://go.microsoft.com/fwlink/?linkid=870924
Comment:
    For the year of 2024</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4B65C0-1B0B-4F6A-85D4-2B7FE2FD8AC1}" keepAlive="1" name="ModelConnection_ExternalData_1" description="Data Model" type="5" refreshedVersion="8" minRefreshableVersion="5" saveData="1">
    <dbPr connection="Data Model Connection" command="Table001  Page 1" commandType="3"/>
    <extLst>
      <ext xmlns:x15="http://schemas.microsoft.com/office/spreadsheetml/2010/11/main" uri="{DE250136-89BD-433C-8126-D09CA5730AF9}">
        <x15:connection id="" model="1"/>
      </ext>
    </extLst>
  </connection>
  <connection id="2" xr16:uid="{66B82CB5-B20B-49B7-A8D6-60927006CB69}" name="Query - Table001 (Page 1)" description="Connection to the 'Table001 (Page 1)' query in the workbook." type="100" refreshedVersion="8" minRefreshableVersion="5">
    <extLst>
      <ext xmlns:x15="http://schemas.microsoft.com/office/spreadsheetml/2010/11/main" uri="{DE250136-89BD-433C-8126-D09CA5730AF9}">
        <x15:connection id="6cab807c-6ef9-46df-a286-7f5adec3e2b5"/>
      </ext>
    </extLst>
  </connection>
  <connection id="3" xr16:uid="{B60D9810-5C58-416B-B0FA-B899296E2621}" name="Query - Table002 (Page 2)" description="Connection to the 'Table002 (Page 2)' query in the workbook." type="100" refreshedVersion="8" minRefreshableVersion="5">
    <extLst>
      <ext xmlns:x15="http://schemas.microsoft.com/office/spreadsheetml/2010/11/main" uri="{DE250136-89BD-433C-8126-D09CA5730AF9}">
        <x15:connection id="1b5e046a-30cc-4d98-9ff2-2123f4e63bba"/>
      </ext>
    </extLst>
  </connection>
  <connection id="4" xr16:uid="{B9A98E5F-F31C-4843-866A-598B88F4CE61}" name="Query - Table003 (Page 3)" description="Connection to the 'Table003 (Page 3)' query in the workbook." type="100" refreshedVersion="8" minRefreshableVersion="5">
    <extLst>
      <ext xmlns:x15="http://schemas.microsoft.com/office/spreadsheetml/2010/11/main" uri="{DE250136-89BD-433C-8126-D09CA5730AF9}">
        <x15:connection id="c309676d-c205-433c-b09b-bd5e6bf5144f"/>
      </ext>
    </extLst>
  </connection>
  <connection id="5" xr16:uid="{74E578ED-83F4-4061-8E1E-82EB46E5D6A6}" name="Query - Table004 (Page 4)" description="Connection to the 'Table004 (Page 4)' query in the workbook." type="100" refreshedVersion="8" minRefreshableVersion="5">
    <extLst>
      <ext xmlns:x15="http://schemas.microsoft.com/office/spreadsheetml/2010/11/main" uri="{DE250136-89BD-433C-8126-D09CA5730AF9}">
        <x15:connection id="da1e61a9-dbf8-47f5-bc37-8d647e89b93d"/>
      </ext>
    </extLst>
  </connection>
  <connection id="6" xr16:uid="{B4EABDC0-8937-44F3-98DB-EAAA5AA2314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<sst xmlns="http://schemas.openxmlformats.org/spreadsheetml/2006/main" count="805" uniqueCount="224">
  <si>
    <t>ID-5422</t>
  </si>
  <si>
    <t>Item 50</t>
  </si>
  <si>
    <t>Clothing</t>
  </si>
  <si>
    <t>ID-5572</t>
  </si>
  <si>
    <t>Item 99</t>
  </si>
  <si>
    <t>ID-2739</t>
  </si>
  <si>
    <t>Item 44</t>
  </si>
  <si>
    <t>Electronics</t>
  </si>
  <si>
    <t>ID-6605</t>
  </si>
  <si>
    <t>Item 56</t>
  </si>
  <si>
    <t>Toys</t>
  </si>
  <si>
    <t>ID-7524</t>
  </si>
  <si>
    <t>Item 2</t>
  </si>
  <si>
    <t>Books</t>
  </si>
  <si>
    <t>ID-8845</t>
  </si>
  <si>
    <t>Item 17</t>
  </si>
  <si>
    <t>Home Goods</t>
  </si>
  <si>
    <t>ID-1176</t>
  </si>
  <si>
    <t>Item 88</t>
  </si>
  <si>
    <t>ID-6487</t>
  </si>
  <si>
    <t>Item 27</t>
  </si>
  <si>
    <t>ID-8387</t>
  </si>
  <si>
    <t>ID-9545</t>
  </si>
  <si>
    <t>Item 10</t>
  </si>
  <si>
    <t>ID-2442</t>
  </si>
  <si>
    <t>Item 34</t>
  </si>
  <si>
    <t>ID-4682</t>
  </si>
  <si>
    <t>Item 45</t>
  </si>
  <si>
    <t>ID-9201</t>
  </si>
  <si>
    <t>Item 32</t>
  </si>
  <si>
    <t>ID-4457</t>
  </si>
  <si>
    <t>Item 48</t>
  </si>
  <si>
    <t>ID-8091</t>
  </si>
  <si>
    <t>Item 9</t>
  </si>
  <si>
    <t>ID-3624</t>
  </si>
  <si>
    <t>Item 78</t>
  </si>
  <si>
    <t>ID-8032</t>
  </si>
  <si>
    <t>Item 33</t>
  </si>
  <si>
    <t>ID-6460</t>
  </si>
  <si>
    <t>Item 37</t>
  </si>
  <si>
    <t>ID-9401</t>
  </si>
  <si>
    <t>Item 91</t>
  </si>
  <si>
    <t>ID-1013</t>
  </si>
  <si>
    <t>Item 39</t>
  </si>
  <si>
    <t>ID-4651</t>
  </si>
  <si>
    <t>Item 55</t>
  </si>
  <si>
    <t>ID-9020</t>
  </si>
  <si>
    <t>Item 47</t>
  </si>
  <si>
    <t>ID-3695</t>
  </si>
  <si>
    <t>ID-8555</t>
  </si>
  <si>
    <t>Item 59</t>
  </si>
  <si>
    <t>ID-7887</t>
  </si>
  <si>
    <t>Item 23</t>
  </si>
  <si>
    <t>ID-4221</t>
  </si>
  <si>
    <t>Item 71</t>
  </si>
  <si>
    <t>ID-5116</t>
  </si>
  <si>
    <t>Item 93</t>
  </si>
  <si>
    <t>ID-6105</t>
  </si>
  <si>
    <t>Item 67</t>
  </si>
  <si>
    <t>ID-9087</t>
  </si>
  <si>
    <t>Item 29</t>
  </si>
  <si>
    <t>ID-7640</t>
  </si>
  <si>
    <t>ID-1320</t>
  </si>
  <si>
    <t>Item 86</t>
  </si>
  <si>
    <t>ID-1022</t>
  </si>
  <si>
    <t>Item 30</t>
  </si>
  <si>
    <t>ID-9454</t>
  </si>
  <si>
    <t>Item 8</t>
  </si>
  <si>
    <t>ID-9452</t>
  </si>
  <si>
    <t>ID-4406</t>
  </si>
  <si>
    <t>Item 77</t>
  </si>
  <si>
    <t>ID-5908</t>
  </si>
  <si>
    <t>ID-8945</t>
  </si>
  <si>
    <t>Item 96</t>
  </si>
  <si>
    <t>ID-2799</t>
  </si>
  <si>
    <t>Item 25</t>
  </si>
  <si>
    <t>ID-6288</t>
  </si>
  <si>
    <t>ID-4674</t>
  </si>
  <si>
    <t>Item 65</t>
  </si>
  <si>
    <t>ID-1464</t>
  </si>
  <si>
    <t>Item 54</t>
  </si>
  <si>
    <t>ID-1424</t>
  </si>
  <si>
    <t>ID-2810</t>
  </si>
  <si>
    <t>ID-9074</t>
  </si>
  <si>
    <t>Item 90</t>
  </si>
  <si>
    <t>ID-8797</t>
  </si>
  <si>
    <t>Item 19</t>
  </si>
  <si>
    <t>ID-4732</t>
  </si>
  <si>
    <t>Item 61</t>
  </si>
  <si>
    <t>ID-2967</t>
  </si>
  <si>
    <t>Item 74</t>
  </si>
  <si>
    <t>ID-6537</t>
  </si>
  <si>
    <t>Item 69</t>
  </si>
  <si>
    <t>ID-3400</t>
  </si>
  <si>
    <t>Item 7</t>
  </si>
  <si>
    <t>ID-8280</t>
  </si>
  <si>
    <t>Item 6</t>
  </si>
  <si>
    <t>ID-7446</t>
  </si>
  <si>
    <t>ID-6258</t>
  </si>
  <si>
    <t>Item 52</t>
  </si>
  <si>
    <t>ID-1568</t>
  </si>
  <si>
    <t>Item 85</t>
  </si>
  <si>
    <t>ID-2801</t>
  </si>
  <si>
    <t>Item 51</t>
  </si>
  <si>
    <t>ID-7140</t>
  </si>
  <si>
    <t>Item 72</t>
  </si>
  <si>
    <t>ID-8985</t>
  </si>
  <si>
    <t>Item 38</t>
  </si>
  <si>
    <t>ID-1605</t>
  </si>
  <si>
    <t>Item 75</t>
  </si>
  <si>
    <t>ID-2137</t>
  </si>
  <si>
    <t>ID-9132</t>
  </si>
  <si>
    <t>ID-9941</t>
  </si>
  <si>
    <t>Item 3</t>
  </si>
  <si>
    <t>ID-4666</t>
  </si>
  <si>
    <t>Item 80</t>
  </si>
  <si>
    <t>ID-8669</t>
  </si>
  <si>
    <t>ID-6240</t>
  </si>
  <si>
    <t>ID-1146</t>
  </si>
  <si>
    <t>ID-4178</t>
  </si>
  <si>
    <t>ID-3456</t>
  </si>
  <si>
    <t>Item 87</t>
  </si>
  <si>
    <t>ID-1927</t>
  </si>
  <si>
    <t>ID-1898</t>
  </si>
  <si>
    <t>Item 98</t>
  </si>
  <si>
    <t>ID-3024</t>
  </si>
  <si>
    <t>Item 40</t>
  </si>
  <si>
    <t>ID-8414</t>
  </si>
  <si>
    <t>ID-9458</t>
  </si>
  <si>
    <t>Item 5</t>
  </si>
  <si>
    <t>ID-6901</t>
  </si>
  <si>
    <t>Item 60</t>
  </si>
  <si>
    <t>ID-9225</t>
  </si>
  <si>
    <t>Item 49</t>
  </si>
  <si>
    <t>ID-7930</t>
  </si>
  <si>
    <t>Item 31</t>
  </si>
  <si>
    <t>ID-6122</t>
  </si>
  <si>
    <t>Item 57</t>
  </si>
  <si>
    <t>ID-7046</t>
  </si>
  <si>
    <t>ID-2971</t>
  </si>
  <si>
    <t>Item 95</t>
  </si>
  <si>
    <t>ID-1742</t>
  </si>
  <si>
    <t>Item 100</t>
  </si>
  <si>
    <t>ID-8542</t>
  </si>
  <si>
    <t>Item 21</t>
  </si>
  <si>
    <t>ID-3542</t>
  </si>
  <si>
    <t>ID-1716</t>
  </si>
  <si>
    <t>Item 1</t>
  </si>
  <si>
    <t>ID-7634</t>
  </si>
  <si>
    <t>Item 84</t>
  </si>
  <si>
    <t>ID-2353</t>
  </si>
  <si>
    <t>ID-8030</t>
  </si>
  <si>
    <t>ID-8079</t>
  </si>
  <si>
    <t>ID-3501</t>
  </si>
  <si>
    <t>Item 11</t>
  </si>
  <si>
    <t>ID-1445</t>
  </si>
  <si>
    <t>ID-6946</t>
  </si>
  <si>
    <t>ID-8068</t>
  </si>
  <si>
    <t>ID-5715</t>
  </si>
  <si>
    <t>ID-1844</t>
  </si>
  <si>
    <t>ID-5524</t>
  </si>
  <si>
    <t>ID-5745</t>
  </si>
  <si>
    <t>ID-1483</t>
  </si>
  <si>
    <t>ID-2218</t>
  </si>
  <si>
    <t>ID-6873</t>
  </si>
  <si>
    <t>Item 64</t>
  </si>
  <si>
    <t>ID-4376</t>
  </si>
  <si>
    <t>ID-3304</t>
  </si>
  <si>
    <t>Item 36</t>
  </si>
  <si>
    <t>ID-3014</t>
  </si>
  <si>
    <t>DATE</t>
  </si>
  <si>
    <t>ITEM ID</t>
  </si>
  <si>
    <t>ITEM NAME</t>
  </si>
  <si>
    <t>CATEGORY</t>
  </si>
  <si>
    <t>QUANTITY SOLD</t>
  </si>
  <si>
    <t>UNIT PRICE ($)</t>
  </si>
  <si>
    <t>TOTAL SALES ($)</t>
  </si>
  <si>
    <t>SALES SPREADSHEET</t>
  </si>
  <si>
    <t>Date</t>
  </si>
  <si>
    <t>Item ID</t>
  </si>
  <si>
    <t>Item Name</t>
  </si>
  <si>
    <t>Category</t>
  </si>
  <si>
    <t>Quantity Sold</t>
  </si>
  <si>
    <t>Unit Price ($)</t>
  </si>
  <si>
    <t>Total Sales ($)</t>
  </si>
  <si>
    <t>Month</t>
  </si>
  <si>
    <t>Row Labels</t>
  </si>
  <si>
    <t>2024-10</t>
  </si>
  <si>
    <t>2024-11</t>
  </si>
  <si>
    <t>2024-12</t>
  </si>
  <si>
    <t>Grand Total</t>
  </si>
  <si>
    <t>Sum of TOTAL SALES ($)</t>
  </si>
  <si>
    <t>2024</t>
  </si>
  <si>
    <t>Revenue-to-Quantity</t>
  </si>
  <si>
    <t>Item</t>
  </si>
  <si>
    <t>Count</t>
  </si>
  <si>
    <t>-</t>
  </si>
  <si>
    <t xml:space="preserve"> $ Sales</t>
  </si>
  <si>
    <t>x Sold</t>
  </si>
  <si>
    <t>Sum of Revenue-to-Quantity</t>
  </si>
  <si>
    <t>Sum of QUANTITY SOLD</t>
  </si>
  <si>
    <t>Category x Quantity Sold</t>
  </si>
  <si>
    <t>Category x Total Sales</t>
  </si>
  <si>
    <t>Item X Revenue to Quantity</t>
  </si>
  <si>
    <t>Item x Top 5</t>
  </si>
  <si>
    <t>Item X Bottom 5</t>
  </si>
  <si>
    <t>Category x % of Revenue</t>
  </si>
  <si>
    <t>2024-01</t>
  </si>
  <si>
    <t>2024-02</t>
  </si>
  <si>
    <t>2024-03</t>
  </si>
  <si>
    <t>2025-01</t>
  </si>
  <si>
    <t>2025</t>
  </si>
  <si>
    <t>2024-04</t>
  </si>
  <si>
    <t>2024-05</t>
  </si>
  <si>
    <t>2024-06</t>
  </si>
  <si>
    <t>2024-07</t>
  </si>
  <si>
    <t>2024-08</t>
  </si>
  <si>
    <t>2024-09</t>
  </si>
  <si>
    <t>Quarters x Total Sales</t>
  </si>
  <si>
    <t>Months X Total Sales</t>
  </si>
  <si>
    <t>Average Sale Per Transaction</t>
  </si>
  <si>
    <t>Total Sales</t>
  </si>
  <si>
    <t>Average Unit Price</t>
  </si>
  <si>
    <t>Sum of UNIT PRICE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</si>
</sst>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quot;$&quot;* #,##0.00_-;_-&quot;$&quot;* &quot;-&quot;??_-;_-@_-"/>
    <numFmt numFmtId="164" formatCode="&quot;$&quot;#,##0.00"/>
  </numFmts>
  <fonts count="7" x14ac:knownFonts="1">
    <font>
      <sz val="11"/>
      <color theme="1"/>
      <name val="Aptos Narrow"/>
      <family val="2"/>
      <scheme val="minor"/>
    </font>
    <font>
      <b/>
      <sz val="9"/>
      <color theme="0"/>
      <name val="Arial"/>
      <family val="2"/>
    </font>
    <font>
      <sz val="11"/>
      <color theme="0"/>
      <name val="Aptos Narrow"/>
      <family val="2"/>
      <scheme val="minor"/>
    </font>
    <font>
      <sz val="8"/>
      <name val="Aptos Narrow"/>
      <family val="2"/>
      <scheme val="minor"/>
    </font>
    <font>
      <sz val="11"/>
      <color theme="1"/>
      <name val="Aptos Narrow"/>
      <family val="2"/>
      <scheme val="minor"/>
    </font>
    <font>
      <sz val="18"/>
      <color theme="0"/>
      <name val="Arial Black"/>
      <family val="2"/>
    </font>
    <font>
      <sz val="16"/>
      <color theme="0"/>
      <name val="Arial Black"/>
      <family val="2"/>
    </font>
  </fonts>
  <fills count="8">
    <fill>
      <patternFill patternType="none"/>
    </fill>
    <fill>
      <patternFill patternType="gray125"/>
    </fill>
    <fill>
      <patternFill patternType="solid">
        <fgColor theme="7" tint="-0.249977111117893"/>
        <bgColor indexed="64"/>
      </patternFill>
    </fill>
    <fill>
      <patternFill patternType="solid">
        <fgColor theme="4" tint="0.79998168889431442"/>
        <bgColor indexed="64"/>
      </patternFill>
    </fill>
    <fill>
      <gradientFill degree="180">
        <stop position="0">
          <color theme="0"/>
        </stop>
        <stop position="1">
          <color theme="4"/>
        </stop>
      </gradientFill>
    </fill>
    <fill>
      <patternFill patternType="solid">
        <fgColor theme="2" tint="-0.89999084444715716"/>
        <bgColor indexed="64"/>
      </patternFill>
    </fill>
    <fill>
      <patternFill patternType="solid">
        <fgColor theme="1" tint="4.9989318521683403E-2"/>
        <bgColor indexed="64"/>
      </patternFill>
    </fill>
    <fill>
      <patternFill patternType="solid">
        <fgColor rgb="FFFFCC66"/>
        <bgColor indexed="64"/>
      </patternFill>
    </fill>
  </fills>
  <borders count="12">
    <border>
      <left/>
      <right/>
      <top/>
      <bottom/>
      <diagonal/>
    </border>
    <border>
      <left/>
      <right/>
      <top style="thin">
        <color theme="4"/>
      </top>
      <bottom/>
      <diagonal/>
    </border>
    <border>
      <left/>
      <right/>
      <top style="thin">
        <color theme="1" tint="0.499984740745262"/>
      </top>
      <bottom style="thin">
        <color theme="1" tint="0.499984740745262"/>
      </bottom>
      <diagonal/>
    </border>
    <border>
      <left/>
      <right/>
      <top/>
      <bottom style="thin">
        <color theme="1" tint="0.499984740745262"/>
      </bottom>
      <diagonal/>
    </border>
    <border>
      <left/>
      <right style="medium">
        <color theme="1" tint="0.499984740745262"/>
      </right>
      <top style="medium">
        <color theme="1" tint="0.499984740745262"/>
      </top>
      <bottom style="thin">
        <color theme="1" tint="0.499984740745262"/>
      </bottom>
      <diagonal/>
    </border>
    <border>
      <left/>
      <right style="medium">
        <color theme="1" tint="0.499984740745262"/>
      </right>
      <top style="thin">
        <color theme="1" tint="0.499984740745262"/>
      </top>
      <bottom style="thin">
        <color theme="1" tint="0.499984740745262"/>
      </bottom>
      <diagonal/>
    </border>
    <border>
      <left/>
      <right/>
      <top/>
      <bottom style="medium">
        <color theme="1" tint="0.499984740745262"/>
      </bottom>
      <diagonal/>
    </border>
    <border>
      <left/>
      <right/>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s>
  <cellStyleXfs count="2">
    <xf numFmtId="0" fontId="0" fillId="0" borderId="0"/>
    <xf numFmtId="44" fontId="4" fillId="0" borderId="0" applyFont="0" applyFill="0" applyBorder="0" applyAlignment="0" applyProtection="0"/>
  </cellStyleXfs>
  <cellXfs count="35">
    <xf numFmtId="0" fontId="0" fillId="0" borderId="0" xfId="0"/>
    <xf numFmtId="14" fontId="0" fillId="0" borderId="0" xfId="0" applyNumberFormat="1"/>
    <xf numFmtId="0" fontId="0" fillId="0" borderId="2" xfId="0" applyBorder="1"/>
    <xf numFmtId="0" fontId="0" fillId="0" borderId="3" xfId="0" applyBorder="1"/>
    <xf numFmtId="14" fontId="0" fillId="3" borderId="4" xfId="0" applyNumberFormat="1" applyFill="1" applyBorder="1"/>
    <xf numFmtId="14" fontId="0" fillId="3" borderId="5" xfId="0" applyNumberFormat="1" applyFill="1" applyBorder="1"/>
    <xf numFmtId="0" fontId="1" fillId="2" borderId="6" xfId="0" applyFont="1" applyFill="1" applyBorder="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0" fillId="5" borderId="0" xfId="0" applyFill="1"/>
    <xf numFmtId="164" fontId="0" fillId="0" borderId="0" xfId="0" applyNumberFormat="1"/>
    <xf numFmtId="0" fontId="0" fillId="6" borderId="0" xfId="0" applyFill="1"/>
    <xf numFmtId="44" fontId="0" fillId="0" borderId="0" xfId="0" applyNumberFormat="1"/>
    <xf numFmtId="44" fontId="0" fillId="0" borderId="3" xfId="1" applyFont="1" applyBorder="1"/>
    <xf numFmtId="44" fontId="0" fillId="0" borderId="2" xfId="1" applyFont="1" applyBorder="1"/>
    <xf numFmtId="0" fontId="0" fillId="7" borderId="0" xfId="0" applyFill="1"/>
    <xf numFmtId="0" fontId="0" fillId="7" borderId="7" xfId="0" applyFill="1" applyBorder="1"/>
    <xf numFmtId="0" fontId="5" fillId="7" borderId="0" xfId="0" applyFont="1" applyFill="1"/>
    <xf numFmtId="0" fontId="0" fillId="7" borderId="8" xfId="0" applyFill="1" applyBorder="1"/>
    <xf numFmtId="0" fontId="0" fillId="7" borderId="9" xfId="0" applyFill="1" applyBorder="1"/>
    <xf numFmtId="0" fontId="2" fillId="7" borderId="7" xfId="0" applyFont="1" applyFill="1" applyBorder="1"/>
    <xf numFmtId="0" fontId="0" fillId="7" borderId="10" xfId="0" applyFill="1" applyBorder="1"/>
    <xf numFmtId="0" fontId="0" fillId="7" borderId="11" xfId="0" applyFill="1" applyBorder="1"/>
    <xf numFmtId="44" fontId="5" fillId="7" borderId="0" xfId="1" applyFont="1" applyFill="1" applyBorder="1"/>
    <xf numFmtId="0" fontId="5" fillId="7" borderId="10" xfId="0" applyFont="1" applyFill="1" applyBorder="1"/>
    <xf numFmtId="44" fontId="6" fillId="7" borderId="0" xfId="1" applyFont="1" applyFill="1" applyBorder="1"/>
    <xf numFmtId="44" fontId="0" fillId="7" borderId="0" xfId="1" applyFont="1" applyFill="1"/>
    <xf numFmtId="44" fontId="0" fillId="7" borderId="7" xfId="1" applyFont="1" applyFill="1" applyBorder="1"/>
    <xf numFmtId="44" fontId="2" fillId="7" borderId="0" xfId="1" applyFont="1" applyFill="1" applyBorder="1"/>
    <xf numFmtId="44" fontId="0" fillId="5" borderId="0" xfId="1" applyFont="1" applyFill="1"/>
    <xf numFmtId="44" fontId="5" fillId="7" borderId="11" xfId="1" applyFont="1" applyFill="1" applyBorder="1"/>
    <xf numFmtId="44" fontId="6" fillId="7" borderId="0" xfId="0" applyNumberFormat="1" applyFont="1" applyFill="1"/>
    <xf numFmtId="0" fontId="1" fillId="4" borderId="1" xfId="0" applyFont="1" applyFill="1" applyBorder="1" applyAlignment="1">
      <alignment wrapText="1"/>
    </xf>
  </cellXfs>
  <cellStyles count="2">
    <cellStyle name="Currency" xfId="1" builtinId="4"/>
    <cellStyle name="Normal" xfId="0" builtinId="0"/>
  </cellStyles>
  <dxfs count="26">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quot;$&quot;#,##0.00"/>
    </dxf>
    <dxf>
      <numFmt numFmtId="34" formatCode="_-&quot;$&quot;* #,##0.00_-;\-&quot;$&quot;* #,##0.00_-;_-&quot;$&quot;* &quot;-&quot;??_-;_-@_-"/>
    </dxf>
    <dxf>
      <border diagonalUp="0" diagonalDown="0">
        <left/>
        <right/>
        <top style="thin">
          <color theme="1" tint="0.499984740745262"/>
        </top>
        <bottom style="thin">
          <color theme="1" tint="0.499984740745262"/>
        </bottom>
        <vertical/>
        <horizontal/>
      </border>
    </dxf>
    <dxf>
      <numFmt numFmtId="0" formatCode="General"/>
      <border diagonalUp="0" diagonalDown="0">
        <left/>
        <right/>
        <top style="thin">
          <color theme="1" tint="0.499984740745262"/>
        </top>
        <bottom style="thin">
          <color theme="1" tint="0.499984740745262"/>
        </bottom>
        <vertical/>
        <horizontal/>
      </border>
    </dxf>
    <dxf>
      <border diagonalUp="0" diagonalDown="0">
        <left/>
        <right/>
        <top style="thin">
          <color theme="1" tint="0.499984740745262"/>
        </top>
        <bottom style="thin">
          <color theme="1" tint="0.499984740745262"/>
        </bottom>
        <vertical/>
        <horizontal/>
      </border>
    </dxf>
    <dxf>
      <border diagonalUp="0" diagonalDown="0">
        <left/>
        <right/>
        <top style="thin">
          <color theme="1" tint="0.499984740745262"/>
        </top>
        <bottom style="thin">
          <color theme="1" tint="0.499984740745262"/>
        </bottom>
        <vertical/>
        <horizontal/>
      </border>
    </dxf>
    <dxf>
      <border diagonalUp="0" diagonalDown="0">
        <left/>
        <right/>
        <top style="thin">
          <color theme="1" tint="0.499984740745262"/>
        </top>
        <bottom style="thin">
          <color theme="1" tint="0.499984740745262"/>
        </bottom>
        <vertical/>
        <horizontal/>
      </border>
    </dxf>
    <dxf>
      <border diagonalUp="0" diagonalDown="0">
        <left/>
        <right/>
        <top style="thin">
          <color theme="1" tint="0.499984740745262"/>
        </top>
        <bottom style="thin">
          <color theme="1" tint="0.499984740745262"/>
        </bottom>
        <vertical/>
        <horizontal/>
      </border>
    </dxf>
    <dxf>
      <border diagonalUp="0" diagonalDown="0">
        <left/>
        <right/>
        <top style="thin">
          <color theme="1" tint="0.499984740745262"/>
        </top>
        <bottom style="thin">
          <color theme="1" tint="0.499984740745262"/>
        </bottom>
        <vertical/>
        <horizontal/>
      </border>
    </dxf>
    <dxf>
      <border diagonalUp="0" diagonalDown="0">
        <left/>
        <right/>
        <top style="thin">
          <color theme="1" tint="0.499984740745262"/>
        </top>
        <bottom style="thin">
          <color theme="1" tint="0.499984740745262"/>
        </bottom>
        <vertical/>
        <horizontal/>
      </border>
    </dxf>
    <dxf>
      <numFmt numFmtId="19" formatCode="yyyy/mm/dd"/>
      <fill>
        <patternFill patternType="solid">
          <fgColor indexed="64"/>
          <bgColor theme="4" tint="0.79998168889431442"/>
        </patternFill>
      </fill>
      <border diagonalUp="0" diagonalDown="0">
        <left/>
        <right style="medium">
          <color theme="1" tint="0.499984740745262"/>
        </right>
        <top style="thin">
          <color theme="1" tint="0.499984740745262"/>
        </top>
        <bottom style="thin">
          <color theme="1" tint="0.499984740745262"/>
        </bottom>
        <vertical/>
        <horizontal/>
      </border>
    </dxf>
    <dxf>
      <border outline="0">
        <top style="thin">
          <color theme="1" tint="0.499984740745262"/>
        </top>
        <bottom style="thin">
          <color theme="1" tint="0.499984740745262"/>
        </bottom>
      </border>
    </dxf>
    <dxf>
      <border outline="0">
        <bottom style="medium">
          <color theme="1" tint="0.499984740745262"/>
        </bottom>
      </border>
    </dxf>
    <dxf>
      <font>
        <b/>
        <i val="0"/>
        <strike val="0"/>
        <condense val="0"/>
        <extend val="0"/>
        <outline val="0"/>
        <shadow val="0"/>
        <u val="none"/>
        <vertAlign val="baseline"/>
        <sz val="9"/>
        <color theme="0"/>
        <name val="Arial"/>
        <family val="2"/>
        <scheme val="none"/>
      </font>
      <fill>
        <patternFill patternType="solid">
          <fgColor indexed="64"/>
          <bgColor theme="7" tint="-0.249977111117893"/>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19" formatCode="yyyy/mm/dd"/>
    </dxf>
    <dxf>
      <fill>
        <patternFill>
          <bgColor rgb="FFFFC000"/>
        </patternFill>
      </fill>
    </dxf>
    <dxf>
      <fill>
        <patternFill>
          <bgColor rgb="FFFFCC66"/>
        </patternFill>
      </fill>
    </dxf>
    <dxf>
      <fill>
        <patternFill>
          <bgColor rgb="FFFFC000"/>
        </patternFill>
      </fill>
    </dxf>
    <dxf>
      <fill>
        <patternFill>
          <bgColor rgb="FFFFC000"/>
        </patternFill>
      </fill>
    </dxf>
    <dxf>
      <fill>
        <patternFill>
          <bgColor rgb="FFFFC000"/>
        </patternFill>
      </fill>
    </dxf>
  </dxfs>
  <tableStyles count="4" defaultTableStyle="TableStyleMedium2" defaultPivotStyle="PivotStyleLight16">
    <tableStyle name="PivotTable Style 1" table="0" count="1" xr9:uid="{9EEFE720-ACF6-4198-8A06-ED5D6CF0F805}">
      <tableStyleElement type="headerRow" dxfId="25"/>
    </tableStyle>
    <tableStyle name="PivotTable Style 2" table="0" count="1" xr9:uid="{72F55E24-CC2E-4791-9B87-3D4D79F1874C}">
      <tableStyleElement type="firstColumn" dxfId="24"/>
    </tableStyle>
    <tableStyle name="PivotTable Style 3" table="0" count="1" xr9:uid="{3380FBD5-0606-4E9C-B6FC-43809A556CEE}">
      <tableStyleElement type="wholeTable" dxfId="23"/>
    </tableStyle>
    <tableStyle name="Slicer Style 1" pivot="0" table="0" count="10" xr9:uid="{F5455511-BE73-4B3D-A2B8-1C75CCF373D0}">
      <tableStyleElement type="wholeTable" dxfId="22"/>
      <tableStyleElement type="headerRow" dxfId="21"/>
    </tableStyle>
  </tableStyles>
  <colors>
    <mruColors>
      <color rgb="FFFFCC66"/>
      <color rgb="FFFF9900"/>
      <color rgb="FFFFCC00"/>
      <color rgb="FFE49EDD"/>
      <color rgb="FF5BD610"/>
      <color rgb="FFFFFFFF"/>
      <color rgb="FF3DFF01"/>
      <color rgb="FFFFF301"/>
      <color rgb="FFFDDF03"/>
      <color rgb="FF18B827"/>
    </mruColors>
  </colors>
  <extLst>
    <ext xmlns:x14="http://schemas.microsoft.com/office/spreadsheetml/2009/9/main" uri="{46F421CA-312F-682f-3DD2-61675219B42D}">
      <x14:dxfs count="8">
        <dxf>
          <fill>
            <patternFill>
              <bgColor rgb="FFE49EDD"/>
            </patternFill>
          </fill>
        </dxf>
        <dxf>
          <fill>
            <patternFill>
              <bgColor rgb="FFE49EDD"/>
            </patternFill>
          </fill>
        </dxf>
        <dxf>
          <fill>
            <patternFill>
              <bgColor rgb="FFE49EDD"/>
            </patternFill>
          </fill>
        </dxf>
        <dxf>
          <fill>
            <patternFill>
              <bgColor rgb="FFE49EDD"/>
            </patternFill>
          </fill>
        </dxf>
        <dxf>
          <fill>
            <patternFill>
              <bgColor rgb="FFFFCC00"/>
            </patternFill>
          </fill>
        </dxf>
        <dxf>
          <fill>
            <patternFill>
              <bgColor rgb="FFFFCC00"/>
            </patternFill>
          </fill>
        </dxf>
        <dxf>
          <fill>
            <patternFill>
              <bgColor rgb="FFFFF301"/>
            </patternFill>
          </fill>
        </dxf>
        <dxf>
          <fill>
            <patternFill>
              <bgColor rgb="FFFFCC6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powerPivotData" Target="model/item.data"/><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17" Type="http://schemas.microsoft.com/office/2023/09/relationships/Python" Target="python.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[pdfFileToDashboard.xlsm]PivotTable!PivotTable5</c:name>
    <c:fmtId val="2"/>
  </c:pivotSource>
  <c:chart>
    <c:title>
      <c:tx>
        <c:rich>
          <a:bodyPr rot="0" spcFirstLastPara="1" vertOverflow="ellipsis" vert="horz" wrap="square" anchor="ctr" anchorCtr="1"/>
          <a:lstStyle/>
          <a:p>
            <a:pPr>
              <a:defRPr sz="1800" b="1" i="0" u="none" strike="noStrike" kern="1200" cap="all" spc="100" normalizeH="0" baseline="0">
                <a:solidFill>
                  <a:schemeClr val="lt1"/>
                </a:solidFill>
                <a:latin typeface="Arial Black" panose="020B0A04020102020204" pitchFamily="34" charset="0"/>
                <a:ea typeface="+mn-ea"/>
                <a:cs typeface="+mn-cs"/>
              </a:defRPr>
            </a:pPr>
            <a:r>
              <a:rPr lang="en-US" sz="1800">
                <a:latin typeface="Arial Black" panose="020B0A04020102020204" pitchFamily="34" charset="0"/>
              </a:rPr>
              <a:t>Total</a:t>
            </a:r>
            <a:r>
              <a:rPr lang="en-US" sz="1800" baseline="0">
                <a:latin typeface="Arial Black" panose="020B0A04020102020204" pitchFamily="34" charset="0"/>
              </a:rPr>
              <a:t> Quantity</a:t>
            </a:r>
            <a:endParaRPr lang="en-US" sz="1800">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800" b="1" i="0" u="none" strike="noStrike" kern="1200" cap="all" spc="100" normalizeH="0" baseline="0">
              <a:solidFill>
                <a:schemeClr val="lt1"/>
              </a:solidFill>
              <a:latin typeface="Arial Black" panose="020B0A04020102020204" pitchFamily="34"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41275" cap="rnd">
            <a:solidFill>
              <a:srgbClr val="7030A0"/>
            </a:solidFill>
            <a:round/>
          </a:ln>
          <a:effectLst>
            <a:outerShdw dist="25400" dir="2700000" algn="tl" rotWithShape="0">
              <a:schemeClr val="accent1"/>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PivotTable!$W$1</c:f>
              <c:strCache>
                <c:ptCount val="1"/>
                <c:pt idx="0">
                  <c:v>Total</c:v>
                </c:pt>
              </c:strCache>
            </c:strRef>
          </c:tx>
          <c:spPr>
            <a:ln w="41275" cap="rnd">
              <a:solidFill>
                <a:srgbClr val="7030A0"/>
              </a:solidFill>
              <a:round/>
            </a:ln>
            <a:effectLst>
              <a:outerShdw dist="25400" dir="2700000" algn="tl" rotWithShape="0">
                <a:schemeClr val="accent1"/>
              </a:outerShdw>
            </a:effectLst>
          </c:spPr>
          <c:marker>
            <c:symbol val="none"/>
          </c:marker>
          <c:trendline>
            <c:spPr>
              <a:ln w="28575" cap="rnd">
                <a:solidFill>
                  <a:schemeClr val="lt1">
                    <a:alpha val="50000"/>
                  </a:schemeClr>
                </a:solidFill>
                <a:round/>
              </a:ln>
              <a:effectLst/>
            </c:spPr>
            <c:trendlineType val="linear"/>
            <c:dispRSqr val="0"/>
            <c:dispEq val="0"/>
          </c:trendline>
          <c:cat>
            <c:strRef>
              <c:f>PivotTable!$V$2:$V$14</c:f>
              <c:strCache>
                <c:ptCount val="13"/>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strCache>
            </c:strRef>
          </c:cat>
          <c:val>
            <c:numRef>
              <c:f>PivotTable!$W$2:$W$14</c:f>
              <c:numCache>
                <c:formatCode>General</c:formatCode>
                <c:ptCount val="13"/>
                <c:pt idx="0">
                  <c:v>4</c:v>
                </c:pt>
                <c:pt idx="1">
                  <c:v>99</c:v>
                </c:pt>
                <c:pt idx="2">
                  <c:v>110</c:v>
                </c:pt>
                <c:pt idx="3">
                  <c:v>83</c:v>
                </c:pt>
                <c:pt idx="4">
                  <c:v>88</c:v>
                </c:pt>
                <c:pt idx="5">
                  <c:v>37</c:v>
                </c:pt>
                <c:pt idx="6">
                  <c:v>64</c:v>
                </c:pt>
                <c:pt idx="7">
                  <c:v>109</c:v>
                </c:pt>
                <c:pt idx="8">
                  <c:v>157</c:v>
                </c:pt>
                <c:pt idx="9">
                  <c:v>56</c:v>
                </c:pt>
                <c:pt idx="10">
                  <c:v>63</c:v>
                </c:pt>
                <c:pt idx="11">
                  <c:v>161</c:v>
                </c:pt>
                <c:pt idx="12">
                  <c:v>48</c:v>
                </c:pt>
              </c:numCache>
            </c:numRef>
          </c:val>
          <c:smooth val="0"/>
          <c:extLst>
            <c:ext xmlns:c16="http://schemas.microsoft.com/office/drawing/2014/chart" uri="{C3380CC4-5D6E-409C-BE32-E72D297353CC}">
              <c16:uniqueId val="{00000000-3090-482B-95D3-511076D7665B}"/>
            </c:ext>
          </c:extLst>
        </c:ser>
        <c:dLbls>
          <c:showLegendKey val="0"/>
          <c:showVal val="0"/>
          <c:showCatName val="0"/>
          <c:showSerName val="0"/>
          <c:showPercent val="0"/>
          <c:showBubbleSize val="0"/>
        </c:dLbls>
        <c:dropLines>
          <c:spPr>
            <a:ln w="9525" cap="flat" cmpd="sng" algn="ctr">
              <a:noFill/>
              <a:round/>
            </a:ln>
            <a:effectLst/>
          </c:spPr>
        </c:dropLines>
        <c:smooth val="0"/>
        <c:axId val="1467263200"/>
        <c:axId val="1467257440"/>
      </c:lineChart>
      <c:catAx>
        <c:axId val="1467263200"/>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467257440"/>
        <c:crosses val="autoZero"/>
        <c:auto val="1"/>
        <c:lblAlgn val="ctr"/>
        <c:lblOffset val="100"/>
        <c:noMultiLvlLbl val="0"/>
      </c:catAx>
      <c:valAx>
        <c:axId val="14672574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46726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C66"/>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[pdfFileToDashboard.xlsm]PivotTable!PivotTable11</c:name>
    <c:fmtId val="1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10800000" scaled="1"/>
            <a:tileRect/>
          </a:gradFill>
          <a:ln>
            <a:noFill/>
          </a:ln>
          <a:effectLst/>
        </c:spPr>
        <c:marker>
          <c:symbol val="none"/>
        </c:marker>
        <c:dLbl>
          <c:idx val="0"/>
          <c:spPr>
            <a:solidFill>
              <a:sysClr val="windowText" lastClr="000000">
                <a:lumMod val="85000"/>
                <a:lumOff val="1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solidFill>
                      <a:srgbClr val="FFFFFF"/>
                    </a:solidFill>
                  </a:ln>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PivotTable!$K$1</c:f>
              <c:strCache>
                <c:ptCount val="1"/>
                <c:pt idx="0">
                  <c:v>Total</c:v>
                </c:pt>
              </c:strCache>
            </c:strRef>
          </c:tx>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10800000" scaled="1"/>
              <a:tileRect/>
            </a:gradFill>
            <a:ln>
              <a:noFill/>
            </a:ln>
            <a:effectLst/>
          </c:spPr>
          <c:invertIfNegative val="0"/>
          <c:dLbls>
            <c:spPr>
              <a:solidFill>
                <a:sysClr val="windowText" lastClr="000000">
                  <a:lumMod val="85000"/>
                  <a:lumOff val="1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solidFill>
                        <a:srgbClr val="FFFFFF"/>
                      </a:solidFill>
                    </a:ln>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PivotTable!$J$2:$J$6</c:f>
              <c:strCache>
                <c:ptCount val="5"/>
                <c:pt idx="0">
                  <c:v>Books</c:v>
                </c:pt>
                <c:pt idx="1">
                  <c:v>Clothing</c:v>
                </c:pt>
                <c:pt idx="2">
                  <c:v>Electronics</c:v>
                </c:pt>
                <c:pt idx="3">
                  <c:v>Home Goods</c:v>
                </c:pt>
                <c:pt idx="4">
                  <c:v>Toys</c:v>
                </c:pt>
              </c:strCache>
            </c:strRef>
          </c:cat>
          <c:val>
            <c:numRef>
              <c:f>PivotTable!$K$2:$K$6</c:f>
              <c:numCache>
                <c:formatCode>General</c:formatCode>
                <c:ptCount val="5"/>
                <c:pt idx="0">
                  <c:v>205</c:v>
                </c:pt>
                <c:pt idx="1">
                  <c:v>247</c:v>
                </c:pt>
                <c:pt idx="2">
                  <c:v>232</c:v>
                </c:pt>
                <c:pt idx="3">
                  <c:v>202</c:v>
                </c:pt>
                <c:pt idx="4">
                  <c:v>193</c:v>
                </c:pt>
              </c:numCache>
            </c:numRef>
          </c:val>
          <c:extLst>
            <c:ext xmlns:c16="http://schemas.microsoft.com/office/drawing/2014/chart" uri="{C3380CC4-5D6E-409C-BE32-E72D297353CC}">
              <c16:uniqueId val="{0000000C-EC1D-461C-A91B-4BCDCCAB4AD1}"/>
            </c:ext>
          </c:extLst>
        </c:ser>
        <c:dLbls>
          <c:showLegendKey val="0"/>
          <c:showVal val="0"/>
          <c:showCatName val="0"/>
          <c:showSerName val="0"/>
          <c:showPercent val="0"/>
          <c:showBubbleSize val="0"/>
        </c:dLbls>
        <c:gapWidth val="326"/>
        <c:overlap val="-58"/>
        <c:axId val="278177887"/>
        <c:axId val="278194207"/>
      </c:barChart>
      <c:catAx>
        <c:axId val="278177887"/>
        <c:scaling>
          <c:orientation val="minMax"/>
        </c:scaling>
        <c:delete val="1"/>
        <c:axPos val="l"/>
        <c:numFmt formatCode="General" sourceLinked="1"/>
        <c:majorTickMark val="out"/>
        <c:minorTickMark val="none"/>
        <c:tickLblPos val="nextTo"/>
        <c:crossAx val="278194207"/>
        <c:crosses val="autoZero"/>
        <c:auto val="1"/>
        <c:lblAlgn val="ctr"/>
        <c:lblOffset val="100"/>
        <c:noMultiLvlLbl val="0"/>
      </c:catAx>
      <c:valAx>
        <c:axId val="278194207"/>
        <c:scaling>
          <c:orientation val="minMax"/>
        </c:scaling>
        <c:delete val="1"/>
        <c:axPos val="b"/>
        <c:numFmt formatCode="General" sourceLinked="1"/>
        <c:majorTickMark val="out"/>
        <c:minorTickMark val="none"/>
        <c:tickLblPos val="nextTo"/>
        <c:crossAx val="278177887"/>
        <c:crosses val="autoZero"/>
        <c:crossBetween val="between"/>
      </c:valAx>
      <c:spPr>
        <a:solidFill>
          <a:srgbClr val="FFCC66"/>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C66"/>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[pdfFileToDashboard.xlsm]PivotTable!PivotTable6</c:name>
    <c:fmtId val="14"/>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Arial Black" panose="020B0A04020102020204" pitchFamily="34" charset="0"/>
                <a:ea typeface="+mn-ea"/>
                <a:cs typeface="+mn-cs"/>
              </a:defRPr>
            </a:pPr>
            <a:r>
              <a:rPr lang="en-US">
                <a:solidFill>
                  <a:schemeClr val="bg1"/>
                </a:solidFill>
                <a:latin typeface="Arial Black" panose="020B0A04020102020204" pitchFamily="34" charset="0"/>
              </a:rPr>
              <a:t>Top 5 Items by Total Sales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PivotTable!$O$1</c:f>
              <c:strCache>
                <c:ptCount val="1"/>
                <c:pt idx="0">
                  <c:v>Total</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10800000" scaled="1"/>
              <a:tileRect/>
            </a:gradFill>
            <a:ln>
              <a:noFill/>
            </a:ln>
            <a:effectLst/>
          </c:spPr>
          <c:invertIfNegative val="0"/>
          <c:cat>
            <c:strRef>
              <c:f>PivotTable!$N$2:$N$6</c:f>
              <c:strCache>
                <c:ptCount val="5"/>
                <c:pt idx="0">
                  <c:v>Item 96</c:v>
                </c:pt>
                <c:pt idx="1">
                  <c:v>Item 57</c:v>
                </c:pt>
                <c:pt idx="2">
                  <c:v>Item 17</c:v>
                </c:pt>
                <c:pt idx="3">
                  <c:v>Item 33</c:v>
                </c:pt>
                <c:pt idx="4">
                  <c:v>Item 10</c:v>
                </c:pt>
              </c:strCache>
            </c:strRef>
          </c:cat>
          <c:val>
            <c:numRef>
              <c:f>PivotTable!$O$2:$O$6</c:f>
              <c:numCache>
                <c:formatCode>_("$"* #,##0.00_);_("$"* \(#,##0.00\);_("$"* "-"??_);_(@_)</c:formatCode>
                <c:ptCount val="5"/>
                <c:pt idx="0">
                  <c:v>2616.91</c:v>
                </c:pt>
                <c:pt idx="1">
                  <c:v>2878.1400000000003</c:v>
                </c:pt>
                <c:pt idx="2">
                  <c:v>3325.98</c:v>
                </c:pt>
                <c:pt idx="3">
                  <c:v>3375.09</c:v>
                </c:pt>
                <c:pt idx="4">
                  <c:v>3719.6400000000003</c:v>
                </c:pt>
              </c:numCache>
            </c:numRef>
          </c:val>
          <c:extLst>
            <c:ext xmlns:c16="http://schemas.microsoft.com/office/drawing/2014/chart" uri="{C3380CC4-5D6E-409C-BE32-E72D297353CC}">
              <c16:uniqueId val="{0000000C-F8E6-4750-8C2C-912B1E039CD7}"/>
            </c:ext>
          </c:extLst>
        </c:ser>
        <c:dLbls>
          <c:showLegendKey val="0"/>
          <c:showVal val="0"/>
          <c:showCatName val="0"/>
          <c:showSerName val="0"/>
          <c:showPercent val="0"/>
          <c:showBubbleSize val="0"/>
        </c:dLbls>
        <c:gapWidth val="326"/>
        <c:overlap val="-58"/>
        <c:axId val="1773090480"/>
        <c:axId val="1773080400"/>
      </c:barChart>
      <c:catAx>
        <c:axId val="1773090480"/>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73080400"/>
        <c:crosses val="autoZero"/>
        <c:auto val="1"/>
        <c:lblAlgn val="ctr"/>
        <c:lblOffset val="100"/>
        <c:noMultiLvlLbl val="0"/>
      </c:catAx>
      <c:valAx>
        <c:axId val="1773080400"/>
        <c:scaling>
          <c:orientation val="minMax"/>
        </c:scaling>
        <c:delete val="0"/>
        <c:axPos val="b"/>
        <c:numFmt formatCode="_(&quot;$&quot;* #,##0.00_);_(&quot;$&quot;* \(#,##0.00\);_(&quot;$&quot;* &quot;-&quot;??_);_(@_)" sourceLinked="1"/>
        <c:majorTickMark val="in"/>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73090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C66"/>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[pdfFileToDashboard.xlsm]PivotTable!PivotTable7</c:name>
    <c:fmtId val="18"/>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Aptos Black" panose="020B0004020202020204" pitchFamily="34" charset="0"/>
                <a:ea typeface="+mn-ea"/>
                <a:cs typeface="+mn-cs"/>
              </a:defRPr>
            </a:pPr>
            <a:r>
              <a:rPr lang="en-US">
                <a:solidFill>
                  <a:schemeClr val="bg1"/>
                </a:solidFill>
                <a:latin typeface="Aptos Black" panose="020B0004020202020204" pitchFamily="34" charset="0"/>
              </a:rPr>
              <a:t>Bottom 5 Items by Total Sales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Aptos Black" panose="020B0004020202020204" pitchFamily="34"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PivotTable!$Q$1</c:f>
              <c:strCache>
                <c:ptCount val="1"/>
                <c:pt idx="0">
                  <c:v>Total</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10800000" scaled="1"/>
              <a:tileRect/>
            </a:gradFill>
            <a:ln>
              <a:noFill/>
            </a:ln>
            <a:effectLst/>
          </c:spPr>
          <c:invertIfNegative val="0"/>
          <c:cat>
            <c:strRef>
              <c:f>PivotTable!$P$2:$P$6</c:f>
              <c:strCache>
                <c:ptCount val="5"/>
                <c:pt idx="0">
                  <c:v>Item 49</c:v>
                </c:pt>
                <c:pt idx="1">
                  <c:v>Item 21</c:v>
                </c:pt>
                <c:pt idx="2">
                  <c:v>Item 90</c:v>
                </c:pt>
                <c:pt idx="3">
                  <c:v>Item 91</c:v>
                </c:pt>
                <c:pt idx="4">
                  <c:v>Item 65</c:v>
                </c:pt>
              </c:strCache>
            </c:strRef>
          </c:cat>
          <c:val>
            <c:numRef>
              <c:f>PivotTable!$Q$2:$Q$6</c:f>
              <c:numCache>
                <c:formatCode>_("$"* #,##0.00_);_("$"* \(#,##0.00\);_("$"* "-"??_);_(@_)</c:formatCode>
                <c:ptCount val="5"/>
                <c:pt idx="0">
                  <c:v>51.2</c:v>
                </c:pt>
                <c:pt idx="1">
                  <c:v>37.56</c:v>
                </c:pt>
                <c:pt idx="2">
                  <c:v>37.020000000000003</c:v>
                </c:pt>
                <c:pt idx="3">
                  <c:v>34.04</c:v>
                </c:pt>
                <c:pt idx="4">
                  <c:v>33.979999999999997</c:v>
                </c:pt>
              </c:numCache>
            </c:numRef>
          </c:val>
          <c:extLst>
            <c:ext xmlns:c16="http://schemas.microsoft.com/office/drawing/2014/chart" uri="{C3380CC4-5D6E-409C-BE32-E72D297353CC}">
              <c16:uniqueId val="{0000000C-A79F-4EEA-9025-825F4A649BB7}"/>
            </c:ext>
          </c:extLst>
        </c:ser>
        <c:dLbls>
          <c:showLegendKey val="0"/>
          <c:showVal val="0"/>
          <c:showCatName val="0"/>
          <c:showSerName val="0"/>
          <c:showPercent val="0"/>
          <c:showBubbleSize val="0"/>
        </c:dLbls>
        <c:gapWidth val="326"/>
        <c:overlap val="-58"/>
        <c:axId val="1773095760"/>
        <c:axId val="1773086640"/>
      </c:barChart>
      <c:catAx>
        <c:axId val="1773095760"/>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73086640"/>
        <c:crosses val="autoZero"/>
        <c:auto val="1"/>
        <c:lblAlgn val="ctr"/>
        <c:lblOffset val="100"/>
        <c:noMultiLvlLbl val="0"/>
      </c:catAx>
      <c:valAx>
        <c:axId val="1773086640"/>
        <c:scaling>
          <c:orientation val="minMax"/>
        </c:scaling>
        <c:delete val="0"/>
        <c:axPos val="b"/>
        <c:numFmt formatCode="_(&quot;$&quot;* #,##0.00_);_(&quot;$&quot;* \(#,##0.00\);_(&quot;$&quot;* &quot;-&quot;??_);_(@_)" sourceLinked="1"/>
        <c:majorTickMark val="in"/>
        <c:minorTickMark val="none"/>
        <c:tickLblPos val="nextTo"/>
        <c:spPr>
          <a:noFill/>
          <a:ln>
            <a:solidFill>
              <a:srgbClr val="FFFFFF"/>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73095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C66"/>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[pdfFileToDashboard.xlsm]PivotTable!PivotTable13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a:glow>
              <a:schemeClr val="accent1">
                <a:alpha val="40000"/>
              </a:schemeClr>
            </a:glow>
            <a:softEdge rad="0"/>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PivotTable!$U$1</c:f>
              <c:strCache>
                <c:ptCount val="1"/>
                <c:pt idx="0">
                  <c:v>Total</c:v>
                </c:pt>
              </c:strCache>
            </c:strRef>
          </c:tx>
          <c:dPt>
            <c:idx val="0"/>
            <c:bubble3D val="0"/>
            <c:spPr>
              <a:solidFill>
                <a:schemeClr val="accent1"/>
              </a:solidFill>
              <a:ln>
                <a:noFill/>
              </a:ln>
              <a:effectLst>
                <a:glow>
                  <a:schemeClr val="accent1">
                    <a:alpha val="40000"/>
                  </a:schemeClr>
                </a:glow>
                <a:softEdge rad="0"/>
              </a:effectLst>
            </c:spPr>
            <c:extLst>
              <c:ext xmlns:c16="http://schemas.microsoft.com/office/drawing/2014/chart" uri="{C3380CC4-5D6E-409C-BE32-E72D297353CC}">
                <c16:uniqueId val="{00000011-44F9-4F27-9DDB-AA349D534B2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44F9-4F27-9DDB-AA349D534B2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44F9-4F27-9DDB-AA349D534B2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44F9-4F27-9DDB-AA349D534B2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44F9-4F27-9DDB-AA349D534B2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PivotTable!$T$2:$T$7</c:f>
              <c:strCache>
                <c:ptCount val="5"/>
                <c:pt idx="0">
                  <c:v>Books</c:v>
                </c:pt>
                <c:pt idx="1">
                  <c:v>Clothing</c:v>
                </c:pt>
                <c:pt idx="2">
                  <c:v>Electronics</c:v>
                </c:pt>
                <c:pt idx="3">
                  <c:v>Home Goods</c:v>
                </c:pt>
                <c:pt idx="4">
                  <c:v>Toys</c:v>
                </c:pt>
              </c:strCache>
            </c:strRef>
          </c:cat>
          <c:val>
            <c:numRef>
              <c:f>PivotTable!$U$2:$U$7</c:f>
              <c:numCache>
                <c:formatCode>0.00%</c:formatCode>
                <c:ptCount val="5"/>
                <c:pt idx="0">
                  <c:v>0.19073206845723553</c:v>
                </c:pt>
                <c:pt idx="1">
                  <c:v>0.22062035874403632</c:v>
                </c:pt>
                <c:pt idx="2">
                  <c:v>0.21436793700208659</c:v>
                </c:pt>
                <c:pt idx="3">
                  <c:v>0.18921327840278873</c:v>
                </c:pt>
                <c:pt idx="4">
                  <c:v>0.18506635739385283</c:v>
                </c:pt>
              </c:numCache>
            </c:numRef>
          </c:val>
          <c:extLst>
            <c:ext xmlns:c16="http://schemas.microsoft.com/office/drawing/2014/chart" uri="{C3380CC4-5D6E-409C-BE32-E72D297353CC}">
              <c16:uniqueId val="{0000000A-44F9-4F27-9DDB-AA349D534B29}"/>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C66"/>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[pdfFileToDashboard.xlsm]PivotTable!PivotTable14</c:name>
    <c:fmtId val="9"/>
  </c:pivotSource>
  <c:chart>
    <c:title>
      <c:tx>
        <c:rich>
          <a:bodyPr rot="0" spcFirstLastPara="1" vertOverflow="ellipsis" vert="horz" wrap="square" anchor="ctr" anchorCtr="1"/>
          <a:lstStyle/>
          <a:p>
            <a:pPr>
              <a:defRPr sz="1100" b="1" i="0" u="none" strike="noStrike" kern="1200" cap="all" spc="50" baseline="0">
                <a:solidFill>
                  <a:schemeClr val="tx1">
                    <a:lumMod val="65000"/>
                    <a:lumOff val="35000"/>
                  </a:schemeClr>
                </a:solidFill>
                <a:latin typeface="+mn-lt"/>
                <a:ea typeface="+mn-ea"/>
                <a:cs typeface="+mn-cs"/>
              </a:defRPr>
            </a:pPr>
            <a:r>
              <a:rPr lang="en-CA" sz="1100">
                <a:solidFill>
                  <a:schemeClr val="bg1"/>
                </a:solidFill>
                <a:latin typeface="Arial Black" panose="020B0A04020102020204" pitchFamily="34" charset="0"/>
              </a:rPr>
              <a:t>Top 5 Items by Revenue-to-Quantity</a:t>
            </a:r>
          </a:p>
        </c:rich>
      </c:tx>
      <c:layout>
        <c:manualLayout>
          <c:xMode val="edge"/>
          <c:yMode val="edge"/>
          <c:x val="0.135546719360013"/>
          <c:y val="4.6540377958782568E-2"/>
        </c:manualLayout>
      </c:layout>
      <c:overlay val="0"/>
      <c:spPr>
        <a:noFill/>
        <a:ln>
          <a:noFill/>
        </a:ln>
        <a:effectLst/>
      </c:spPr>
      <c:txPr>
        <a:bodyPr rot="0" spcFirstLastPara="1" vertOverflow="ellipsis" vert="horz" wrap="square" anchor="ctr" anchorCtr="1"/>
        <a:lstStyle/>
        <a:p>
          <a:pPr>
            <a:defRPr sz="1100" b="1" i="0" u="none" strike="noStrike" kern="1200" cap="all" spc="50" baseline="0">
              <a:solidFill>
                <a:schemeClr val="tx1">
                  <a:lumMod val="65000"/>
                  <a:lumOff val="35000"/>
                </a:schemeClr>
              </a:solidFill>
              <a:latin typeface="+mn-lt"/>
              <a:ea typeface="+mn-ea"/>
              <a:cs typeface="+mn-cs"/>
            </a:defRPr>
          </a:pPr>
          <a:endParaRPr lang="en-CA"/>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PivotTable!$S$1</c:f>
              <c:strCache>
                <c:ptCount val="1"/>
                <c:pt idx="0">
                  <c:v>Total</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cat>
            <c:strRef>
              <c:f>PivotTable!$R$2:$R$6</c:f>
              <c:strCache>
                <c:ptCount val="5"/>
                <c:pt idx="0">
                  <c:v>Item 10</c:v>
                </c:pt>
                <c:pt idx="1">
                  <c:v>Item 96</c:v>
                </c:pt>
                <c:pt idx="2">
                  <c:v>Item 33</c:v>
                </c:pt>
                <c:pt idx="3">
                  <c:v>Item 17</c:v>
                </c:pt>
                <c:pt idx="4">
                  <c:v>Item 57</c:v>
                </c:pt>
              </c:strCache>
            </c:strRef>
          </c:cat>
          <c:val>
            <c:numRef>
              <c:f>PivotTable!$S$2:$S$6</c:f>
              <c:numCache>
                <c:formatCode>_("$"* #,##0.00_);_("$"* \(#,##0.00\);_("$"* "-"??_);_(@_)</c:formatCode>
                <c:ptCount val="5"/>
                <c:pt idx="0">
                  <c:v>327.51</c:v>
                </c:pt>
                <c:pt idx="1">
                  <c:v>277.23</c:v>
                </c:pt>
                <c:pt idx="2">
                  <c:v>227.79000000000002</c:v>
                </c:pt>
                <c:pt idx="3">
                  <c:v>219.76999999999998</c:v>
                </c:pt>
                <c:pt idx="4">
                  <c:v>183.72</c:v>
                </c:pt>
              </c:numCache>
            </c:numRef>
          </c:val>
          <c:extLst>
            <c:ext xmlns:c16="http://schemas.microsoft.com/office/drawing/2014/chart" uri="{C3380CC4-5D6E-409C-BE32-E72D297353CC}">
              <c16:uniqueId val="{0000000C-08BE-428B-A35A-994E8427EBE8}"/>
            </c:ext>
          </c:extLst>
        </c:ser>
        <c:dLbls>
          <c:showLegendKey val="0"/>
          <c:showVal val="0"/>
          <c:showCatName val="0"/>
          <c:showSerName val="0"/>
          <c:showPercent val="0"/>
          <c:showBubbleSize val="0"/>
        </c:dLbls>
        <c:gapWidth val="355"/>
        <c:overlap val="-70"/>
        <c:axId val="1773095280"/>
        <c:axId val="1773098640"/>
      </c:barChart>
      <c:catAx>
        <c:axId val="177309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73098640"/>
        <c:crosses val="autoZero"/>
        <c:auto val="1"/>
        <c:lblAlgn val="ctr"/>
        <c:lblOffset val="100"/>
        <c:noMultiLvlLbl val="0"/>
      </c:catAx>
      <c:valAx>
        <c:axId val="1773098640"/>
        <c:scaling>
          <c:orientation val="minMax"/>
        </c:scaling>
        <c:delete val="0"/>
        <c:axPos val="l"/>
        <c:numFmt formatCode="_(&quot;$&quot;* #,##0.00_);_(&quot;$&quot;* \(#,##0.00\);_(&quot;$&quot;* &quot;-&quot;??_);_(@_)" sourceLinked="1"/>
        <c:majorTickMark val="none"/>
        <c:minorTickMark val="none"/>
        <c:tickLblPos val="nextTo"/>
        <c:spPr>
          <a:noFill/>
          <a:ln>
            <a:solidFill>
              <a:srgbClr val="FFFFFF"/>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73095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C66"/>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[pdfFileToDashboard.xlsm]PivotTable!PivotTable12</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10800000" scaled="1"/>
            <a:tileRect/>
          </a:gradFill>
          <a:ln>
            <a:noFill/>
          </a:ln>
          <a:effectLst/>
        </c:spPr>
        <c:marker>
          <c:symbol val="none"/>
        </c:marker>
        <c:dLbl>
          <c:idx val="0"/>
          <c:spPr>
            <a:solidFill>
              <a:sysClr val="windowText" lastClr="000000">
                <a:lumMod val="85000"/>
                <a:lumOff val="1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solidFill>
                      <a:srgbClr val="FFFFFF"/>
                    </a:solidFill>
                  </a:ln>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PivotTable!$M$1</c:f>
              <c:strCache>
                <c:ptCount val="1"/>
                <c:pt idx="0">
                  <c:v>Total</c:v>
                </c:pt>
              </c:strCache>
            </c:strRef>
          </c:tx>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10800000" scaled="1"/>
              <a:tileRect/>
            </a:gradFill>
            <a:ln>
              <a:noFill/>
            </a:ln>
            <a:effectLst/>
          </c:spPr>
          <c:invertIfNegative val="0"/>
          <c:dLbls>
            <c:spPr>
              <a:solidFill>
                <a:sysClr val="windowText" lastClr="000000">
                  <a:lumMod val="85000"/>
                  <a:lumOff val="1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solidFill>
                        <a:srgbClr val="FFFFFF"/>
                      </a:solidFill>
                    </a:ln>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PivotTable!$L$2:$L$6</c:f>
              <c:strCache>
                <c:ptCount val="5"/>
                <c:pt idx="0">
                  <c:v>Books</c:v>
                </c:pt>
                <c:pt idx="1">
                  <c:v>Clothing</c:v>
                </c:pt>
                <c:pt idx="2">
                  <c:v>Electronics</c:v>
                </c:pt>
                <c:pt idx="3">
                  <c:v>Home Goods</c:v>
                </c:pt>
                <c:pt idx="4">
                  <c:v>Toys</c:v>
                </c:pt>
              </c:strCache>
            </c:strRef>
          </c:cat>
          <c:val>
            <c:numRef>
              <c:f>PivotTable!$M$2:$M$6</c:f>
              <c:numCache>
                <c:formatCode>_("$"* #,##0.00_);_("$"* \(#,##0.00\);_("$"* "-"??_);_(@_)</c:formatCode>
                <c:ptCount val="5"/>
                <c:pt idx="0">
                  <c:v>11459.32</c:v>
                </c:pt>
                <c:pt idx="1">
                  <c:v>13255.029999999999</c:v>
                </c:pt>
                <c:pt idx="2">
                  <c:v>12879.380000000005</c:v>
                </c:pt>
                <c:pt idx="3">
                  <c:v>11368.069999999998</c:v>
                </c:pt>
                <c:pt idx="4">
                  <c:v>11118.920000000002</c:v>
                </c:pt>
              </c:numCache>
            </c:numRef>
          </c:val>
          <c:extLst>
            <c:ext xmlns:c16="http://schemas.microsoft.com/office/drawing/2014/chart" uri="{C3380CC4-5D6E-409C-BE32-E72D297353CC}">
              <c16:uniqueId val="{0000000D-6BBE-4BB3-B67B-D7FEC23F655F}"/>
            </c:ext>
          </c:extLst>
        </c:ser>
        <c:dLbls>
          <c:showLegendKey val="0"/>
          <c:showVal val="0"/>
          <c:showCatName val="0"/>
          <c:showSerName val="0"/>
          <c:showPercent val="0"/>
          <c:showBubbleSize val="0"/>
        </c:dLbls>
        <c:gapWidth val="326"/>
        <c:overlap val="-58"/>
        <c:axId val="1101356239"/>
        <c:axId val="1101353359"/>
      </c:barChart>
      <c:catAx>
        <c:axId val="1101356239"/>
        <c:scaling>
          <c:orientation val="minMax"/>
        </c:scaling>
        <c:delete val="1"/>
        <c:axPos val="l"/>
        <c:numFmt formatCode="General" sourceLinked="1"/>
        <c:majorTickMark val="out"/>
        <c:minorTickMark val="none"/>
        <c:tickLblPos val="nextTo"/>
        <c:crossAx val="1101353359"/>
        <c:crossesAt val="10000"/>
        <c:auto val="1"/>
        <c:lblAlgn val="ctr"/>
        <c:lblOffset val="100"/>
        <c:noMultiLvlLbl val="0"/>
      </c:catAx>
      <c:valAx>
        <c:axId val="1101353359"/>
        <c:scaling>
          <c:orientation val="minMax"/>
        </c:scaling>
        <c:delete val="1"/>
        <c:axPos val="b"/>
        <c:numFmt formatCode="_(&quot;$&quot;* #,##0.00_);_(&quot;$&quot;* \(#,##0.00\);_(&quot;$&quot;* &quot;-&quot;??_);_(@_)" sourceLinked="1"/>
        <c:majorTickMark val="in"/>
        <c:minorTickMark val="none"/>
        <c:tickLblPos val="none"/>
        <c:crossAx val="1101356239"/>
        <c:crosses val="autoZero"/>
        <c:crossBetween val="between"/>
      </c:valAx>
      <c:spPr>
        <a:solidFill>
          <a:srgbClr val="FF9900"/>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0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[pdfFileToDashboard.xlsm]PivotTable!PivotTable1</c:name>
    <c:fmtId val="2"/>
  </c:pivotSource>
  <c:chart>
    <c:title>
      <c:tx>
        <c:rich>
          <a:bodyPr rot="0" spcFirstLastPara="1" vertOverflow="ellipsis" vert="horz" wrap="square" anchor="ctr" anchorCtr="1"/>
          <a:lstStyle/>
          <a:p>
            <a:pPr>
              <a:defRPr sz="2000" b="1" i="0" u="none" strike="noStrike" kern="1200" cap="all" spc="100" normalizeH="0" baseline="0">
                <a:solidFill>
                  <a:schemeClr val="lt1"/>
                </a:solidFill>
                <a:latin typeface="Arial Black" panose="020B0A04020102020204" pitchFamily="34" charset="0"/>
                <a:ea typeface="+mn-ea"/>
                <a:cs typeface="+mn-cs"/>
              </a:defRPr>
            </a:pPr>
            <a:r>
              <a:rPr lang="en-CA" sz="2000">
                <a:latin typeface="Arial Black" panose="020B0A04020102020204" pitchFamily="34" charset="0"/>
              </a:rPr>
              <a:t>Total Sales $</a:t>
            </a:r>
          </a:p>
        </c:rich>
      </c:tx>
      <c:overlay val="0"/>
      <c:spPr>
        <a:noFill/>
        <a:ln>
          <a:noFill/>
        </a:ln>
        <a:effectLst/>
      </c:spPr>
      <c:txPr>
        <a:bodyPr rot="0" spcFirstLastPara="1" vertOverflow="ellipsis" vert="horz" wrap="square" anchor="ctr" anchorCtr="1"/>
        <a:lstStyle/>
        <a:p>
          <a:pPr>
            <a:defRPr sz="2000" b="1" i="0" u="none" strike="noStrike" kern="1200" cap="all" spc="100" normalizeH="0" baseline="0">
              <a:solidFill>
                <a:schemeClr val="lt1"/>
              </a:solidFill>
              <a:latin typeface="Arial Black" panose="020B0A04020102020204" pitchFamily="34"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41275" cap="rnd">
            <a:solidFill>
              <a:srgbClr val="7030A0"/>
            </a:solidFill>
            <a:round/>
          </a:ln>
          <a:effectLst>
            <a:outerShdw dist="25400" dir="2700000" algn="tl" rotWithShape="0">
              <a:schemeClr val="accent1"/>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c:f>
              <c:strCache>
                <c:ptCount val="1"/>
                <c:pt idx="0">
                  <c:v>Total</c:v>
                </c:pt>
              </c:strCache>
            </c:strRef>
          </c:tx>
          <c:spPr>
            <a:ln w="41275" cap="rnd">
              <a:solidFill>
                <a:srgbClr val="7030A0"/>
              </a:solidFill>
              <a:round/>
            </a:ln>
            <a:effectLst>
              <a:outerShdw dist="25400" dir="2700000" algn="tl" rotWithShape="0">
                <a:schemeClr val="accent1"/>
              </a:outerShdw>
            </a:effectLst>
          </c:spPr>
          <c:marker>
            <c:symbol val="none"/>
          </c:marker>
          <c:trendline>
            <c:spPr>
              <a:ln w="28575" cap="rnd">
                <a:solidFill>
                  <a:schemeClr val="lt1">
                    <a:alpha val="50000"/>
                  </a:schemeClr>
                </a:solidFill>
                <a:round/>
              </a:ln>
              <a:effectLst/>
            </c:spPr>
            <c:trendlineType val="linear"/>
            <c:dispRSqr val="0"/>
            <c:dispEq val="0"/>
          </c:trendline>
          <c:cat>
            <c:strRef>
              <c:f>PivotTable!$A$2:$A$15</c:f>
              <c:strCache>
                <c:ptCount val="13"/>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strCache>
            </c:strRef>
          </c:cat>
          <c:val>
            <c:numRef>
              <c:f>PivotTable!$B$2:$B$15</c:f>
              <c:numCache>
                <c:formatCode>_("$"* #,##0.00_);_("$"* \(#,##0.00\);_("$"* "-"??_);_(@_)</c:formatCode>
                <c:ptCount val="13"/>
                <c:pt idx="0">
                  <c:v>102</c:v>
                </c:pt>
                <c:pt idx="1">
                  <c:v>5855.8899999999994</c:v>
                </c:pt>
                <c:pt idx="2">
                  <c:v>6722.63</c:v>
                </c:pt>
                <c:pt idx="3">
                  <c:v>3251.7100000000005</c:v>
                </c:pt>
                <c:pt idx="4">
                  <c:v>5526.7300000000005</c:v>
                </c:pt>
                <c:pt idx="5">
                  <c:v>2216.41</c:v>
                </c:pt>
                <c:pt idx="6">
                  <c:v>1572.99</c:v>
                </c:pt>
                <c:pt idx="7">
                  <c:v>4702.97</c:v>
                </c:pt>
                <c:pt idx="8">
                  <c:v>10118.070000000002</c:v>
                </c:pt>
                <c:pt idx="9">
                  <c:v>3308.42</c:v>
                </c:pt>
                <c:pt idx="10">
                  <c:v>4075.6600000000003</c:v>
                </c:pt>
                <c:pt idx="11">
                  <c:v>10189</c:v>
                </c:pt>
                <c:pt idx="12">
                  <c:v>2438.2400000000002</c:v>
                </c:pt>
              </c:numCache>
            </c:numRef>
          </c:val>
          <c:smooth val="0"/>
          <c:extLst>
            <c:ext xmlns:c16="http://schemas.microsoft.com/office/drawing/2014/chart" uri="{C3380CC4-5D6E-409C-BE32-E72D297353CC}">
              <c16:uniqueId val="{00000000-DA93-411B-81BC-29F6037FA2BB}"/>
            </c:ext>
          </c:extLst>
        </c:ser>
        <c:dLbls>
          <c:showLegendKey val="0"/>
          <c:showVal val="0"/>
          <c:showCatName val="0"/>
          <c:showSerName val="0"/>
          <c:showPercent val="0"/>
          <c:showBubbleSize val="0"/>
        </c:dLbls>
        <c:dropLines>
          <c:spPr>
            <a:ln w="9525" cap="flat" cmpd="sng" algn="ctr">
              <a:noFill/>
              <a:round/>
            </a:ln>
            <a:effectLst/>
          </c:spPr>
        </c:dropLines>
        <c:smooth val="0"/>
        <c:axId val="1355635456"/>
        <c:axId val="1355637376"/>
      </c:lineChart>
      <c:catAx>
        <c:axId val="135563545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355637376"/>
        <c:crosses val="autoZero"/>
        <c:auto val="1"/>
        <c:lblAlgn val="ctr"/>
        <c:lblOffset val="100"/>
        <c:noMultiLvlLbl val="0"/>
      </c:catAx>
      <c:valAx>
        <c:axId val="1355637376"/>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55635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00"/>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150395</xdr:colOff>
      <xdr:row>21</xdr:row>
      <xdr:rowOff>140368</xdr:rowOff>
    </xdr:from>
    <xdr:to>
      <xdr:col>9</xdr:col>
      <xdr:colOff>270806</xdr:colOff>
      <xdr:row>42</xdr:row>
      <xdr:rowOff>11621</xdr:rowOff>
    </xdr:to>
    <xdr:graphicFrame macro="">
      <xdr:nvGraphicFramePr>
        <xdr:cNvPr id="19" name="quantityLineGraph" hidden="1">
          <a:extLst>
            <a:ext uri="{FF2B5EF4-FFF2-40B4-BE49-F238E27FC236}">
              <a16:creationId xmlns:a16="http://schemas.microsoft.com/office/drawing/2014/main" id="{EC764FD3-8A5A-42C0-BFA6-2D4727A3DE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534904</xdr:colOff>
      <xdr:row>22</xdr:row>
      <xdr:rowOff>23564</xdr:rowOff>
    </xdr:from>
    <xdr:to>
      <xdr:col>11</xdr:col>
      <xdr:colOff>180471</xdr:colOff>
      <xdr:row>25</xdr:row>
      <xdr:rowOff>50132</xdr:rowOff>
    </xdr:to>
    <xdr:sp macro="[0]!ToggleChartVisibility" textlink="">
      <xdr:nvSpPr>
        <xdr:cNvPr id="5" name="Button 1">
          <a:extLst>
            <a:ext uri="{FF2B5EF4-FFF2-40B4-BE49-F238E27FC236}">
              <a16:creationId xmlns:a16="http://schemas.microsoft.com/office/drawing/2014/main" id="{D02477B6-8006-6284-E420-E46A38BE0E1D}"/>
            </a:ext>
          </a:extLst>
        </xdr:cNvPr>
        <xdr:cNvSpPr/>
      </xdr:nvSpPr>
      <xdr:spPr>
        <a:xfrm>
          <a:off x="6741193" y="4745959"/>
          <a:ext cx="1129462" cy="567989"/>
        </a:xfrm>
        <a:prstGeom prst="roundRect">
          <a:avLst/>
        </a:prstGeom>
        <a:solidFill>
          <a:srgbClr val="FF99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kern="1200"/>
            <a:t>Show Quantity Sold</a:t>
          </a:r>
        </a:p>
      </xdr:txBody>
    </xdr:sp>
    <xdr:clientData/>
  </xdr:twoCellAnchor>
  <xdr:twoCellAnchor>
    <xdr:from>
      <xdr:col>11</xdr:col>
      <xdr:colOff>365292</xdr:colOff>
      <xdr:row>21</xdr:row>
      <xdr:rowOff>176931</xdr:rowOff>
    </xdr:from>
    <xdr:to>
      <xdr:col>15</xdr:col>
      <xdr:colOff>396302</xdr:colOff>
      <xdr:row>42</xdr:row>
      <xdr:rowOff>37383</xdr:rowOff>
    </xdr:to>
    <xdr:graphicFrame macro="">
      <xdr:nvGraphicFramePr>
        <xdr:cNvPr id="44" name="quantityChart">
          <a:extLst>
            <a:ext uri="{FF2B5EF4-FFF2-40B4-BE49-F238E27FC236}">
              <a16:creationId xmlns:a16="http://schemas.microsoft.com/office/drawing/2014/main" id="{B457A554-E572-47AE-B5D4-B1C5AC4222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127945</xdr:colOff>
      <xdr:row>5</xdr:row>
      <xdr:rowOff>90508</xdr:rowOff>
    </xdr:from>
    <xdr:to>
      <xdr:col>20</xdr:col>
      <xdr:colOff>368979</xdr:colOff>
      <xdr:row>20</xdr:row>
      <xdr:rowOff>90508</xdr:rowOff>
    </xdr:to>
    <xdr:graphicFrame macro="">
      <xdr:nvGraphicFramePr>
        <xdr:cNvPr id="12" name="Chart 11">
          <a:extLst>
            <a:ext uri="{FF2B5EF4-FFF2-40B4-BE49-F238E27FC236}">
              <a16:creationId xmlns:a16="http://schemas.microsoft.com/office/drawing/2014/main" id="{8DD46EAF-21C9-484A-9C6A-2F6AD7803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621766</xdr:colOff>
      <xdr:row>20</xdr:row>
      <xdr:rowOff>137294</xdr:rowOff>
    </xdr:from>
    <xdr:to>
      <xdr:col>21</xdr:col>
      <xdr:colOff>455646</xdr:colOff>
      <xdr:row>36</xdr:row>
      <xdr:rowOff>76334</xdr:rowOff>
    </xdr:to>
    <xdr:graphicFrame macro="">
      <xdr:nvGraphicFramePr>
        <xdr:cNvPr id="13" name="Chart 12">
          <a:extLst>
            <a:ext uri="{FF2B5EF4-FFF2-40B4-BE49-F238E27FC236}">
              <a16:creationId xmlns:a16="http://schemas.microsoft.com/office/drawing/2014/main" id="{BF531F8B-3165-4BFB-824F-5BFD675DD8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161089</xdr:colOff>
      <xdr:row>5</xdr:row>
      <xdr:rowOff>87529</xdr:rowOff>
    </xdr:from>
    <xdr:to>
      <xdr:col>9</xdr:col>
      <xdr:colOff>280738</xdr:colOff>
      <xdr:row>20</xdr:row>
      <xdr:rowOff>140368</xdr:rowOff>
    </xdr:to>
    <xdr:graphicFrame macro="">
      <xdr:nvGraphicFramePr>
        <xdr:cNvPr id="15" name="Chart 14">
          <a:extLst>
            <a:ext uri="{FF2B5EF4-FFF2-40B4-BE49-F238E27FC236}">
              <a16:creationId xmlns:a16="http://schemas.microsoft.com/office/drawing/2014/main" id="{8ED0E4A2-E729-42F4-B221-B3F34A877B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516290</xdr:colOff>
      <xdr:row>5</xdr:row>
      <xdr:rowOff>132616</xdr:rowOff>
    </xdr:from>
    <xdr:to>
      <xdr:col>14</xdr:col>
      <xdr:colOff>831116</xdr:colOff>
      <xdr:row>20</xdr:row>
      <xdr:rowOff>132616</xdr:rowOff>
    </xdr:to>
    <xdr:graphicFrame macro="">
      <xdr:nvGraphicFramePr>
        <xdr:cNvPr id="16" name="Chart 15">
          <a:extLst>
            <a:ext uri="{FF2B5EF4-FFF2-40B4-BE49-F238E27FC236}">
              <a16:creationId xmlns:a16="http://schemas.microsoft.com/office/drawing/2014/main" id="{C4478027-29EA-4B94-AC89-244AC90317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478970</xdr:colOff>
      <xdr:row>0</xdr:row>
      <xdr:rowOff>32657</xdr:rowOff>
    </xdr:from>
    <xdr:to>
      <xdr:col>19</xdr:col>
      <xdr:colOff>130628</xdr:colOff>
      <xdr:row>3</xdr:row>
      <xdr:rowOff>0</xdr:rowOff>
    </xdr:to>
    <xdr:sp macro="" textlink="">
      <xdr:nvSpPr>
        <xdr:cNvPr id="14" name="Rectangle: Rounded Corners 13">
          <a:extLst>
            <a:ext uri="{FF2B5EF4-FFF2-40B4-BE49-F238E27FC236}">
              <a16:creationId xmlns:a16="http://schemas.microsoft.com/office/drawing/2014/main" id="{8A042FCA-F879-E5F4-CC7B-70BA90D35104}"/>
            </a:ext>
          </a:extLst>
        </xdr:cNvPr>
        <xdr:cNvSpPr/>
      </xdr:nvSpPr>
      <xdr:spPr>
        <a:xfrm>
          <a:off x="2975523" y="32657"/>
          <a:ext cx="11352368" cy="508764"/>
        </a:xfrm>
        <a:prstGeom prst="roundRect">
          <a:avLst/>
        </a:prstGeom>
        <a:solidFill>
          <a:srgbClr val="FFCC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800" kern="1200">
              <a:ln>
                <a:noFill/>
              </a:ln>
              <a:latin typeface="Aptos Black" panose="020B0004020202020204" pitchFamily="34" charset="0"/>
            </a:rPr>
            <a:t>2024 Sales</a:t>
          </a:r>
          <a:r>
            <a:rPr lang="en-CA" sz="2800" kern="1200" baseline="0">
              <a:ln>
                <a:noFill/>
              </a:ln>
              <a:latin typeface="Aptos Black" panose="020B0004020202020204" pitchFamily="34" charset="0"/>
            </a:rPr>
            <a:t> Dashboard</a:t>
          </a:r>
          <a:endParaRPr lang="en-CA" sz="2800" kern="1200">
            <a:ln>
              <a:noFill/>
            </a:ln>
            <a:latin typeface="Aptos Black" panose="020B0004020202020204" pitchFamily="34" charset="0"/>
          </a:endParaRPr>
        </a:p>
      </xdr:txBody>
    </xdr:sp>
    <xdr:clientData/>
  </xdr:twoCellAnchor>
  <xdr:twoCellAnchor editAs="oneCell">
    <xdr:from>
      <xdr:col>0</xdr:col>
      <xdr:colOff>0</xdr:colOff>
      <xdr:row>5</xdr:row>
      <xdr:rowOff>64974</xdr:rowOff>
    </xdr:from>
    <xdr:to>
      <xdr:col>1</xdr:col>
      <xdr:colOff>391027</xdr:colOff>
      <xdr:row>16</xdr:row>
      <xdr:rowOff>54947</xdr:rowOff>
    </xdr:to>
    <mc:AlternateContent xmlns:mc="http://schemas.openxmlformats.org/markup-compatibility/2006" xmlns:a14="http://schemas.microsoft.com/office/drawing/2010/main">
      <mc:Choice Requires="a14">
        <xdr:graphicFrame macro="">
          <xdr:nvGraphicFramePr>
            <xdr:cNvPr id="10" name="Quarters">
              <a:extLst>
                <a:ext uri="{FF2B5EF4-FFF2-40B4-BE49-F238E27FC236}">
                  <a16:creationId xmlns:a16="http://schemas.microsoft.com/office/drawing/2014/main" id="{801350BC-9587-8EA7-1049-BD89B6B29246}"/>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0" y="1308237"/>
              <a:ext cx="1002632" cy="197518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98162</xdr:rowOff>
    </xdr:from>
    <xdr:to>
      <xdr:col>1</xdr:col>
      <xdr:colOff>391027</xdr:colOff>
      <xdr:row>29</xdr:row>
      <xdr:rowOff>20054</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15171F46-196F-32C4-5D97-29394624290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2965688"/>
              <a:ext cx="1002632" cy="262899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370975</xdr:colOff>
      <xdr:row>21</xdr:row>
      <xdr:rowOff>178973</xdr:rowOff>
    </xdr:from>
    <xdr:to>
      <xdr:col>15</xdr:col>
      <xdr:colOff>401052</xdr:colOff>
      <xdr:row>42</xdr:row>
      <xdr:rowOff>40107</xdr:rowOff>
    </xdr:to>
    <xdr:graphicFrame macro="">
      <xdr:nvGraphicFramePr>
        <xdr:cNvPr id="11" name="salesChart">
          <a:extLst>
            <a:ext uri="{FF2B5EF4-FFF2-40B4-BE49-F238E27FC236}">
              <a16:creationId xmlns:a16="http://schemas.microsoft.com/office/drawing/2014/main" id="{8EFD85F9-2136-435F-92C8-D712B9CDD4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150395</xdr:colOff>
      <xdr:row>21</xdr:row>
      <xdr:rowOff>150392</xdr:rowOff>
    </xdr:from>
    <xdr:to>
      <xdr:col>9</xdr:col>
      <xdr:colOff>270806</xdr:colOff>
      <xdr:row>42</xdr:row>
      <xdr:rowOff>20050</xdr:rowOff>
    </xdr:to>
    <xdr:graphicFrame macro="">
      <xdr:nvGraphicFramePr>
        <xdr:cNvPr id="18" name="salesLineGraph">
          <a:extLst>
            <a:ext uri="{FF2B5EF4-FFF2-40B4-BE49-F238E27FC236}">
              <a16:creationId xmlns:a16="http://schemas.microsoft.com/office/drawing/2014/main" id="{7B078A5F-4CA8-4B31-8241-25B584E557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oshua Oosterman" id="{69E90BE0-993B-4649-A918-7302A9B2F936}" userId="958b56d0432b8c62" providerId="Windows Live"/>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how%20to%20create%20data,make%20summarie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h oosterman" refreshedDate="45679.39784189815" createdVersion="8" refreshedVersion="8" minRefreshableVersion="3" recordCount="5" xr:uid="{4F8FD163-1F7B-4A65-9E0A-B0965C5BB9AF}">
  <cacheSource type="worksheet">
    <worksheetSource ref="H13:J18" sheet="KPI's" r:id="rId2"/>
  </cacheSource>
  <cacheFields count="3">
    <cacheField name="Categories" numFmtId="0">
      <sharedItems count="5">
        <s v="Home Goods"/>
        <s v="Electronics"/>
        <s v="Toys"/>
        <s v="Clothing"/>
        <s v="Books"/>
      </sharedItems>
    </cacheField>
    <cacheField name="$ Sales" numFmtId="0">
      <sharedItems containsSemiMixedTypes="0" containsString="0" containsNumber="1" minValue="11118.920000000002" maxValue="13255.029999999999" count="5">
        <n v="11368.069999999998"/>
        <n v="12879.380000000005"/>
        <n v="11118.920000000002"/>
        <n v="13255.029999999999"/>
        <n v="11459.32"/>
      </sharedItems>
    </cacheField>
    <cacheField name="Quantity Sold" numFmtId="0">
      <sharedItems containsSemiMixedTypes="0" containsString="0" containsNumber="1" containsInteger="1" minValue="193" maxValue="247" count="5">
        <n v="202"/>
        <n v="232"/>
        <n v="193"/>
        <n v="247"/>
        <n v="205"/>
      </sharedItems>
    </cacheField>
  </cacheFields>
  <extLst>
    <ext xmlns:x14="http://schemas.microsoft.com/office/spreadsheetml/2009/9/main" uri="{725AE2AE-9491-48be-B2B4-4EB974FC3084}">
      <x14:pivotCacheDefinition pivotCacheId="194858959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h oosterman" refreshedDate="45685.426700000004" createdVersion="8" refreshedVersion="8" minRefreshableVersion="3" recordCount="100" xr:uid="{B030086A-16EE-456E-88E5-1B2CF5964F99}">
  <cacheSource type="worksheet">
    <worksheetSource name="salesTable"/>
  </cacheSource>
  <cacheFields count="14">
    <cacheField name="DATE" numFmtId="14">
      <sharedItems containsSemiMixedTypes="0" containsNonDate="0" containsDate="1" containsString="0" minDate="2024-01-20T00:00:00" maxDate="2025-01-18T00:00:00" count="83">
        <d v="2024-01-20T00:00:00"/>
        <d v="2024-02-10T00:00:00"/>
        <d v="2024-02-11T00:00:00"/>
        <d v="2024-02-12T00:00:00"/>
        <d v="2024-02-16T00:00:00"/>
        <d v="2024-02-21T00:00:00"/>
        <d v="2024-02-28T00:00:00"/>
        <d v="2024-03-10T00:00:00"/>
        <d v="2024-03-12T00:00:00"/>
        <d v="2024-03-16T00:00:00"/>
        <d v="2024-03-18T00:00:00"/>
        <d v="2024-03-24T00:00:00"/>
        <d v="2024-03-30T00:00:00"/>
        <d v="2024-03-31T00:00:00"/>
        <d v="2024-04-03T00:00:00"/>
        <d v="2024-04-07T00:00:00"/>
        <d v="2024-04-08T00:00:00"/>
        <d v="2024-04-10T00:00:00"/>
        <d v="2024-04-20T00:00:00"/>
        <d v="2024-04-21T00:00:00"/>
        <d v="2024-04-22T00:00:00"/>
        <d v="2024-04-28T00:00:00"/>
        <d v="2024-04-30T00:00:00"/>
        <d v="2024-05-01T00:00:00"/>
        <d v="2024-05-04T00:00:00"/>
        <d v="2024-05-07T00:00:00"/>
        <d v="2024-05-08T00:00:00"/>
        <d v="2024-05-25T00:00:00"/>
        <d v="2024-05-26T00:00:00"/>
        <d v="2024-05-27T00:00:00"/>
        <d v="2024-05-30T00:00:00"/>
        <d v="2024-06-24T00:00:00"/>
        <d v="2024-06-25T00:00:00"/>
        <d v="2024-06-26T00:00:00"/>
        <d v="2024-06-29T00:00:00"/>
        <d v="2024-06-30T00:00:00"/>
        <d v="2024-07-19T00:00:00"/>
        <d v="2024-07-20T00:00:00"/>
        <d v="2024-07-22T00:00:00"/>
        <d v="2024-07-30T00:00:00"/>
        <d v="2024-08-07T00:00:00"/>
        <d v="2024-08-11T00:00:00"/>
        <d v="2024-08-15T00:00:00"/>
        <d v="2024-08-17T00:00:00"/>
        <d v="2024-08-22T00:00:00"/>
        <d v="2024-08-28T00:00:00"/>
        <d v="2024-08-30T00:00:00"/>
        <d v="2024-09-10T00:00:00"/>
        <d v="2024-09-11T00:00:00"/>
        <d v="2024-09-12T00:00:00"/>
        <d v="2024-09-15T00:00:00"/>
        <d v="2024-09-16T00:00:00"/>
        <d v="2024-09-18T00:00:00"/>
        <d v="2024-09-20T00:00:00"/>
        <d v="2024-09-22T00:00:00"/>
        <d v="2024-09-27T00:00:00"/>
        <d v="2024-09-30T00:00:00"/>
        <d v="2024-10-09T00:00:00"/>
        <d v="2024-10-10T00:00:00"/>
        <d v="2024-10-14T00:00:00"/>
        <d v="2024-10-23T00:00:00"/>
        <d v="2024-11-02T00:00:00"/>
        <d v="2024-11-14T00:00:00"/>
        <d v="2024-11-22T00:00:00"/>
        <d v="2024-11-27T00:00:00"/>
        <d v="2024-11-28T00:00:00"/>
        <d v="2024-11-29T00:00:00"/>
        <d v="2024-12-08T00:00:00"/>
        <d v="2024-12-10T00:00:00"/>
        <d v="2024-12-12T00:00:00"/>
        <d v="2024-12-16T00:00:00"/>
        <d v="2024-12-17T00:00:00"/>
        <d v="2024-12-18T00:00:00"/>
        <d v="2024-12-20T00:00:00"/>
        <d v="2024-12-22T00:00:00"/>
        <d v="2024-12-26T00:00:00"/>
        <d v="2024-12-27T00:00:00"/>
        <d v="2024-12-29T00:00:00"/>
        <d v="2024-12-31T00:00:00"/>
        <d v="2025-01-08T00:00:00"/>
        <d v="2025-01-11T00:00:00"/>
        <d v="2025-01-14T00:00:00"/>
        <d v="2025-01-17T00:00:00"/>
      </sharedItems>
      <fieldGroup par="11"/>
    </cacheField>
    <cacheField name="ITEM ID" numFmtId="0">
      <sharedItems count="99">
        <s v="ID-5116"/>
        <s v="ID-9545"/>
        <s v="ID-6122"/>
        <s v="ID-5422"/>
        <s v="ID-7887"/>
        <s v="ID-7046"/>
        <s v="ID-3024"/>
        <s v="ID-9452"/>
        <s v="ID-2799"/>
        <s v="ID-1716"/>
        <s v="ID-2739"/>
        <s v="ID-7640"/>
        <s v="ID-1927"/>
        <s v="ID-4221"/>
        <s v="ID-2442"/>
        <s v="ID-3456"/>
        <s v="ID-8845"/>
        <s v="ID-9401"/>
        <s v="ID-3304"/>
        <s v="ID-1464"/>
        <s v="ID-4674"/>
        <s v="ID-3501"/>
        <s v="ID-2810"/>
        <s v="ID-7634"/>
        <s v="ID-8669"/>
        <s v="ID-9941"/>
        <s v="ID-4376"/>
        <s v="ID-6258"/>
        <s v="ID-2218"/>
        <s v="ID-8068"/>
        <s v="ID-9087"/>
        <s v="ID-8030"/>
        <s v="ID-8555"/>
        <s v="ID-4682"/>
        <s v="ID-8414"/>
        <s v="ID-7930"/>
        <s v="ID-3624"/>
        <s v="ID-6605"/>
        <s v="ID-1844"/>
        <s v="ID-6105"/>
        <s v="ID-6288"/>
        <s v="ID-6240"/>
        <s v="ID-3695"/>
        <s v="ID-8985"/>
        <s v="ID-9201"/>
        <s v="ID-1320"/>
        <s v="ID-3014"/>
        <s v="ID-4732"/>
        <s v="ID-1483"/>
        <s v="ID-8032"/>
        <s v="ID-2353"/>
        <s v="ID-6487"/>
        <s v="ID-1424"/>
        <s v="ID-7524"/>
        <s v="ID-9458"/>
        <s v="ID-1605"/>
        <s v="ID-5715"/>
        <s v="ID-1898"/>
        <s v="ID-1445"/>
        <s v="ID-8797"/>
        <s v="ID-9020"/>
        <s v="ID-8387"/>
        <s v="ID-7140"/>
        <s v="ID-2971"/>
        <s v="ID-3400"/>
        <s v="ID-5524"/>
        <s v="ID-6873"/>
        <s v="ID-5572"/>
        <s v="ID-9074"/>
        <s v="ID-3542"/>
        <s v="ID-1568"/>
        <s v="ID-9454"/>
        <s v="ID-6946"/>
        <s v="ID-8542"/>
        <s v="ID-4178"/>
        <s v="ID-4406"/>
        <s v="ID-9132"/>
        <s v="ID-6901"/>
        <s v="ID-5745"/>
        <s v="ID-7446"/>
        <s v="ID-9225"/>
        <s v="ID-8280"/>
        <s v="ID-1146"/>
        <s v="ID-1742"/>
        <s v="ID-1013"/>
        <s v="ID-6537"/>
        <s v="ID-6460"/>
        <s v="ID-8945"/>
        <s v="ID-1176"/>
        <s v="ID-5908"/>
        <s v="ID-1022"/>
        <s v="ID-2137"/>
        <s v="ID-4651"/>
        <s v="ID-4666"/>
        <s v="ID-4457"/>
        <s v="ID-2967"/>
        <s v="ID-2801"/>
        <s v="ID-8091"/>
        <s v="ID-8079"/>
      </sharedItems>
    </cacheField>
    <cacheField name="ITEM NAME" numFmtId="0">
      <sharedItems count="66">
        <s v="Item 93"/>
        <s v="Item 10"/>
        <s v="Item 57"/>
        <s v="Item 50"/>
        <s v="Item 23"/>
        <s v="Item 25"/>
        <s v="Item 40"/>
        <s v="Item 1"/>
        <s v="Item 44"/>
        <s v="Item 99"/>
        <s v="Item 67"/>
        <s v="Item 71"/>
        <s v="Item 34"/>
        <s v="Item 87"/>
        <s v="Item 17"/>
        <s v="Item 91"/>
        <s v="Item 36"/>
        <s v="Item 54"/>
        <s v="Item 65"/>
        <s v="Item 11"/>
        <s v="Item 47"/>
        <s v="Item 84"/>
        <s v="Item 37"/>
        <s v="Item 3"/>
        <s v="Item 33"/>
        <s v="Item 52"/>
        <s v="Item 96"/>
        <s v="Item 29"/>
        <s v="Item 27"/>
        <s v="Item 59"/>
        <s v="Item 45"/>
        <s v="Item 86"/>
        <s v="Item 31"/>
        <s v="Item 78"/>
        <s v="Item 56"/>
        <s v="Item 8"/>
        <s v="Item 38"/>
        <s v="Item 32"/>
        <s v="Item 61"/>
        <s v="Item 95"/>
        <s v="Item 55"/>
        <s v="Item 2"/>
        <s v="Item 5"/>
        <s v="Item 75"/>
        <s v="Item 98"/>
        <s v="Item 19"/>
        <s v="Item 72"/>
        <s v="Item 7"/>
        <s v="Item 64"/>
        <s v="Item 90"/>
        <s v="Item 48"/>
        <s v="Item 80"/>
        <s v="Item 85"/>
        <s v="Item 21"/>
        <s v="Item 77"/>
        <s v="Item 60"/>
        <s v="Item 49"/>
        <s v="Item 6"/>
        <s v="Item 100"/>
        <s v="Item 39"/>
        <s v="Item 69"/>
        <s v="Item 88"/>
        <s v="Item 30"/>
        <s v="Item 74"/>
        <s v="Item 51"/>
        <s v="Item 9"/>
      </sharedItems>
    </cacheField>
    <cacheField name="CATEGORY" numFmtId="0">
      <sharedItems count="5">
        <s v="Home Goods"/>
        <s v="Electronics"/>
        <s v="Toys"/>
        <s v="Clothing"/>
        <s v="Books"/>
      </sharedItems>
    </cacheField>
    <cacheField name="QUANTITY SOLD" numFmtId="0">
      <sharedItems containsSemiMixedTypes="0" containsString="0" containsNumber="1" containsInteger="1" minValue="1" maxValue="20"/>
    </cacheField>
    <cacheField name="UNIT PRICE ($)" numFmtId="44">
      <sharedItems containsSemiMixedTypes="0" containsString="0" containsNumber="1" minValue="6.4" maxValue="98.92"/>
    </cacheField>
    <cacheField name="TOTAL SALES ($)" numFmtId="44">
      <sharedItems containsSemiMixedTypes="0" containsString="0" containsNumber="1" minValue="31.23" maxValue="1875.87"/>
    </cacheField>
    <cacheField name="Month" numFmtId="0">
      <sharedItems count="13">
        <s v="2024-01"/>
        <s v="2024-02"/>
        <s v="2024-03"/>
        <s v="2024-04"/>
        <s v="2024-05"/>
        <s v="2024-06"/>
        <s v="2024-07"/>
        <s v="2024-08"/>
        <s v="2024-09"/>
        <s v="2024-10"/>
        <s v="2024-11"/>
        <s v="2024-12"/>
        <s v="2025-01"/>
      </sharedItems>
    </cacheField>
    <cacheField name="Revenue-to-Quantity" numFmtId="44">
      <sharedItems containsSemiMixedTypes="0" containsString="0" containsNumber="1" minValue="6.4" maxValue="98.92"/>
    </cacheField>
    <cacheField name="Months (DATE)" numFmtId="0" databaseField="0">
      <fieldGroup base="0">
        <rangePr groupBy="months" startDate="2024-01-20T00:00:00" endDate="2025-01-18T00:00:00"/>
        <groupItems count="14">
          <s v="&lt;2024-01-20"/>
          <s v="Jan"/>
          <s v="Feb"/>
          <s v="Mar"/>
          <s v="Apr"/>
          <s v="May"/>
          <s v="Jun"/>
          <s v="Jul"/>
          <s v="Aug"/>
          <s v="Sep"/>
          <s v="Oct"/>
          <s v="Nov"/>
          <s v="Dec"/>
          <s v="&gt;2025-01-18"/>
        </groupItems>
      </fieldGroup>
    </cacheField>
    <cacheField name="Quarters (DATE)" numFmtId="0" databaseField="0">
      <fieldGroup base="0">
        <rangePr groupBy="quarters" startDate="2024-01-20T00:00:00" endDate="2025-01-18T00:00:00"/>
        <groupItems count="6">
          <s v="&lt;2024-01-20"/>
          <s v="Qtr1"/>
          <s v="Qtr2"/>
          <s v="Qtr3"/>
          <s v="Qtr4"/>
          <s v="&gt;2025-01-18"/>
        </groupItems>
      </fieldGroup>
    </cacheField>
    <cacheField name="Years (DATE)" numFmtId="0" databaseField="0">
      <fieldGroup base="0">
        <rangePr groupBy="years" startDate="2024-01-20T00:00:00" endDate="2025-01-18T00:00:00"/>
        <groupItems count="4">
          <s v="&lt;2024-01-20"/>
          <s v="2024"/>
          <s v="2025"/>
          <s v="&gt;2025-01-18"/>
        </groupItems>
      </fieldGroup>
    </cacheField>
    <cacheField name="% of Total Sales" numFmtId="0" formula="'TOTAL SALES ($)'/SUM('TOTAL SALES ($)')" databaseField="0"/>
    <cacheField name="% of Revenue" numFmtId="0" formula="'TOTAL SALES ($)'/ SUM('TOTAL SALES ($)')" databaseField="0"/>
  </cacheFields>
  <extLst>
    <ext xmlns:x14="http://schemas.microsoft.com/office/spreadsheetml/2009/9/main" uri="{725AE2AE-9491-48be-B2B4-4EB974FC3084}">
      <x14:pivotCacheDefinition pivotCacheId="11918334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x v="0"/>
  </r>
  <r>
    <x v="1"/>
    <x v="1"/>
    <x v="1"/>
  </r>
  <r>
    <x v="2"/>
    <x v="2"/>
    <x v="2"/>
  </r>
  <r>
    <x v="3"/>
    <x v="3"/>
    <x v="3"/>
  </r>
  <r>
    <x v="4"/>
    <x v="4"/>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n v="4"/>
    <n v="25.5"/>
    <n v="102"/>
    <x v="0"/>
    <n v="25.5"/>
  </r>
  <r>
    <x v="1"/>
    <x v="1"/>
    <x v="1"/>
    <x v="1"/>
    <n v="15"/>
    <n v="74.64"/>
    <n v="1119.5999999999999"/>
    <x v="1"/>
    <n v="74.64"/>
  </r>
  <r>
    <x v="1"/>
    <x v="2"/>
    <x v="2"/>
    <x v="2"/>
    <n v="6"/>
    <n v="30.03"/>
    <n v="180.18"/>
    <x v="1"/>
    <n v="30.03"/>
  </r>
  <r>
    <x v="2"/>
    <x v="3"/>
    <x v="3"/>
    <x v="3"/>
    <n v="15"/>
    <n v="63.83"/>
    <n v="957.45"/>
    <x v="1"/>
    <n v="63.830000000000005"/>
  </r>
  <r>
    <x v="3"/>
    <x v="4"/>
    <x v="4"/>
    <x v="0"/>
    <n v="2"/>
    <n v="93.13"/>
    <n v="186.26"/>
    <x v="1"/>
    <n v="93.13"/>
  </r>
  <r>
    <x v="4"/>
    <x v="5"/>
    <x v="5"/>
    <x v="4"/>
    <n v="16"/>
    <n v="98.92"/>
    <n v="1582.72"/>
    <x v="1"/>
    <n v="98.92"/>
  </r>
  <r>
    <x v="4"/>
    <x v="6"/>
    <x v="6"/>
    <x v="3"/>
    <n v="12"/>
    <n v="19.29"/>
    <n v="231.48"/>
    <x v="1"/>
    <n v="19.29"/>
  </r>
  <r>
    <x v="5"/>
    <x v="7"/>
    <x v="1"/>
    <x v="1"/>
    <n v="20"/>
    <n v="28.56"/>
    <n v="571.20000000000005"/>
    <x v="1"/>
    <n v="28.560000000000002"/>
  </r>
  <r>
    <x v="6"/>
    <x v="8"/>
    <x v="5"/>
    <x v="4"/>
    <n v="13"/>
    <n v="79"/>
    <n v="1027"/>
    <x v="1"/>
    <n v="79"/>
  </r>
  <r>
    <x v="7"/>
    <x v="9"/>
    <x v="7"/>
    <x v="1"/>
    <n v="11"/>
    <n v="56.78"/>
    <n v="624.58000000000004"/>
    <x v="2"/>
    <n v="56.78"/>
  </r>
  <r>
    <x v="8"/>
    <x v="10"/>
    <x v="8"/>
    <x v="1"/>
    <n v="14"/>
    <n v="68.150000000000006"/>
    <n v="954.1"/>
    <x v="2"/>
    <n v="68.150000000000006"/>
  </r>
  <r>
    <x v="8"/>
    <x v="11"/>
    <x v="9"/>
    <x v="3"/>
    <n v="12"/>
    <n v="50.33"/>
    <n v="603.96"/>
    <x v="2"/>
    <n v="50.330000000000005"/>
  </r>
  <r>
    <x v="9"/>
    <x v="12"/>
    <x v="10"/>
    <x v="2"/>
    <n v="17"/>
    <n v="90.47"/>
    <n v="1537.99"/>
    <x v="2"/>
    <n v="90.47"/>
  </r>
  <r>
    <x v="10"/>
    <x v="13"/>
    <x v="11"/>
    <x v="4"/>
    <n v="12"/>
    <n v="45.2"/>
    <n v="542.4"/>
    <x v="2"/>
    <n v="45.199999999999996"/>
  </r>
  <r>
    <x v="11"/>
    <x v="14"/>
    <x v="12"/>
    <x v="1"/>
    <n v="14"/>
    <n v="51.07"/>
    <n v="714.98"/>
    <x v="2"/>
    <n v="51.07"/>
  </r>
  <r>
    <x v="12"/>
    <x v="15"/>
    <x v="13"/>
    <x v="3"/>
    <n v="12"/>
    <n v="7.25"/>
    <n v="87"/>
    <x v="2"/>
    <n v="7.25"/>
  </r>
  <r>
    <x v="13"/>
    <x v="16"/>
    <x v="14"/>
    <x v="0"/>
    <n v="18"/>
    <n v="92.09"/>
    <n v="1657.62"/>
    <x v="2"/>
    <n v="92.089999999999989"/>
  </r>
  <r>
    <x v="14"/>
    <x v="17"/>
    <x v="15"/>
    <x v="3"/>
    <n v="1"/>
    <n v="34.04"/>
    <n v="34.04"/>
    <x v="3"/>
    <n v="34.04"/>
  </r>
  <r>
    <x v="14"/>
    <x v="18"/>
    <x v="16"/>
    <x v="2"/>
    <n v="5"/>
    <n v="25.66"/>
    <n v="128.30000000000001"/>
    <x v="3"/>
    <n v="25.660000000000004"/>
  </r>
  <r>
    <x v="14"/>
    <x v="19"/>
    <x v="17"/>
    <x v="4"/>
    <n v="17"/>
    <n v="21.14"/>
    <n v="359.38"/>
    <x v="3"/>
    <n v="21.14"/>
  </r>
  <r>
    <x v="15"/>
    <x v="20"/>
    <x v="18"/>
    <x v="3"/>
    <n v="1"/>
    <n v="33.979999999999997"/>
    <n v="33.979999999999997"/>
    <x v="3"/>
    <n v="33.979999999999997"/>
  </r>
  <r>
    <x v="16"/>
    <x v="21"/>
    <x v="19"/>
    <x v="1"/>
    <n v="6"/>
    <n v="12.74"/>
    <n v="76.44"/>
    <x v="3"/>
    <n v="12.74"/>
  </r>
  <r>
    <x v="17"/>
    <x v="22"/>
    <x v="20"/>
    <x v="4"/>
    <n v="11"/>
    <n v="60.61"/>
    <n v="666.71"/>
    <x v="3"/>
    <n v="60.610000000000007"/>
  </r>
  <r>
    <x v="18"/>
    <x v="23"/>
    <x v="21"/>
    <x v="0"/>
    <n v="2"/>
    <n v="29.77"/>
    <n v="59.54"/>
    <x v="3"/>
    <n v="29.77"/>
  </r>
  <r>
    <x v="19"/>
    <x v="24"/>
    <x v="22"/>
    <x v="4"/>
    <n v="8"/>
    <n v="89.51"/>
    <n v="716.08"/>
    <x v="3"/>
    <n v="89.51"/>
  </r>
  <r>
    <x v="19"/>
    <x v="25"/>
    <x v="23"/>
    <x v="0"/>
    <n v="12"/>
    <n v="15.46"/>
    <n v="185.52"/>
    <x v="3"/>
    <n v="15.46"/>
  </r>
  <r>
    <x v="20"/>
    <x v="26"/>
    <x v="24"/>
    <x v="2"/>
    <n v="9"/>
    <n v="55.53"/>
    <n v="499.77"/>
    <x v="3"/>
    <n v="55.53"/>
  </r>
  <r>
    <x v="21"/>
    <x v="27"/>
    <x v="25"/>
    <x v="2"/>
    <n v="7"/>
    <n v="30.65"/>
    <n v="214.55"/>
    <x v="3"/>
    <n v="30.650000000000002"/>
  </r>
  <r>
    <x v="22"/>
    <x v="28"/>
    <x v="23"/>
    <x v="3"/>
    <n v="4"/>
    <n v="69.349999999999994"/>
    <n v="277.39999999999998"/>
    <x v="3"/>
    <n v="69.349999999999994"/>
  </r>
  <r>
    <x v="23"/>
    <x v="29"/>
    <x v="26"/>
    <x v="4"/>
    <n v="18"/>
    <n v="61.77"/>
    <n v="1111.8599999999999"/>
    <x v="4"/>
    <n v="61.769999999999996"/>
  </r>
  <r>
    <x v="24"/>
    <x v="30"/>
    <x v="27"/>
    <x v="3"/>
    <n v="8"/>
    <n v="86.62"/>
    <n v="692.96"/>
    <x v="4"/>
    <n v="86.62"/>
  </r>
  <r>
    <x v="25"/>
    <x v="31"/>
    <x v="28"/>
    <x v="2"/>
    <n v="7"/>
    <n v="51.85"/>
    <n v="362.95"/>
    <x v="4"/>
    <n v="51.85"/>
  </r>
  <r>
    <x v="26"/>
    <x v="32"/>
    <x v="29"/>
    <x v="0"/>
    <n v="9"/>
    <n v="37.67"/>
    <n v="339.03"/>
    <x v="4"/>
    <n v="37.669999999999995"/>
  </r>
  <r>
    <x v="27"/>
    <x v="33"/>
    <x v="30"/>
    <x v="2"/>
    <n v="3"/>
    <n v="57.34"/>
    <n v="172.02"/>
    <x v="4"/>
    <n v="57.34"/>
  </r>
  <r>
    <x v="28"/>
    <x v="34"/>
    <x v="31"/>
    <x v="0"/>
    <n v="14"/>
    <n v="98.02"/>
    <n v="1372.28"/>
    <x v="4"/>
    <n v="98.02"/>
  </r>
  <r>
    <x v="29"/>
    <x v="35"/>
    <x v="32"/>
    <x v="0"/>
    <n v="12"/>
    <n v="74.930000000000007"/>
    <n v="899.16"/>
    <x v="4"/>
    <n v="74.929999999999993"/>
  </r>
  <r>
    <x v="30"/>
    <x v="36"/>
    <x v="33"/>
    <x v="1"/>
    <n v="17"/>
    <n v="33.909999999999997"/>
    <n v="576.47"/>
    <x v="4"/>
    <n v="33.910000000000004"/>
  </r>
  <r>
    <x v="31"/>
    <x v="37"/>
    <x v="34"/>
    <x v="2"/>
    <n v="18"/>
    <n v="40.28"/>
    <n v="725.04"/>
    <x v="5"/>
    <n v="40.28"/>
  </r>
  <r>
    <x v="32"/>
    <x v="38"/>
    <x v="23"/>
    <x v="4"/>
    <n v="2"/>
    <n v="26.37"/>
    <n v="52.74"/>
    <x v="5"/>
    <n v="26.37"/>
  </r>
  <r>
    <x v="33"/>
    <x v="39"/>
    <x v="10"/>
    <x v="0"/>
    <n v="1"/>
    <n v="31.23"/>
    <n v="31.23"/>
    <x v="5"/>
    <n v="31.23"/>
  </r>
  <r>
    <x v="34"/>
    <x v="40"/>
    <x v="35"/>
    <x v="2"/>
    <n v="2"/>
    <n v="18.47"/>
    <n v="36.94"/>
    <x v="5"/>
    <n v="18.47"/>
  </r>
  <r>
    <x v="35"/>
    <x v="41"/>
    <x v="14"/>
    <x v="1"/>
    <n v="14"/>
    <n v="97.89"/>
    <n v="1370.46"/>
    <x v="5"/>
    <n v="97.89"/>
  </r>
  <r>
    <x v="36"/>
    <x v="42"/>
    <x v="14"/>
    <x v="0"/>
    <n v="10"/>
    <n v="29.79"/>
    <n v="297.89999999999998"/>
    <x v="6"/>
    <n v="29.79"/>
  </r>
  <r>
    <x v="37"/>
    <x v="43"/>
    <x v="36"/>
    <x v="2"/>
    <n v="14"/>
    <n v="12.51"/>
    <n v="175.14"/>
    <x v="6"/>
    <n v="12.51"/>
  </r>
  <r>
    <x v="38"/>
    <x v="44"/>
    <x v="37"/>
    <x v="3"/>
    <n v="19"/>
    <n v="37.049999999999997"/>
    <n v="703.95"/>
    <x v="6"/>
    <n v="37.050000000000004"/>
  </r>
  <r>
    <x v="38"/>
    <x v="45"/>
    <x v="31"/>
    <x v="1"/>
    <n v="3"/>
    <n v="24.84"/>
    <n v="74.52"/>
    <x v="6"/>
    <n v="24.84"/>
  </r>
  <r>
    <x v="39"/>
    <x v="46"/>
    <x v="32"/>
    <x v="3"/>
    <n v="18"/>
    <n v="17.86"/>
    <n v="321.48"/>
    <x v="6"/>
    <n v="17.86"/>
  </r>
  <r>
    <x v="40"/>
    <x v="47"/>
    <x v="38"/>
    <x v="3"/>
    <n v="14"/>
    <n v="36.99"/>
    <n v="517.86"/>
    <x v="7"/>
    <n v="36.99"/>
  </r>
  <r>
    <x v="41"/>
    <x v="48"/>
    <x v="39"/>
    <x v="4"/>
    <n v="11"/>
    <n v="9.2899999999999991"/>
    <n v="102.19"/>
    <x v="7"/>
    <n v="9.2899999999999991"/>
  </r>
  <r>
    <x v="42"/>
    <x v="49"/>
    <x v="24"/>
    <x v="3"/>
    <n v="18"/>
    <n v="97.14"/>
    <n v="1748.52"/>
    <x v="7"/>
    <n v="97.14"/>
  </r>
  <r>
    <x v="43"/>
    <x v="50"/>
    <x v="40"/>
    <x v="3"/>
    <n v="8"/>
    <n v="29.45"/>
    <n v="235.6"/>
    <x v="7"/>
    <n v="29.45"/>
  </r>
  <r>
    <x v="44"/>
    <x v="51"/>
    <x v="28"/>
    <x v="0"/>
    <n v="19"/>
    <n v="27.66"/>
    <n v="525.54"/>
    <x v="7"/>
    <n v="27.659999999999997"/>
  </r>
  <r>
    <x v="45"/>
    <x v="52"/>
    <x v="1"/>
    <x v="2"/>
    <n v="14"/>
    <n v="89.39"/>
    <n v="1251.46"/>
    <x v="7"/>
    <n v="89.39"/>
  </r>
  <r>
    <x v="45"/>
    <x v="53"/>
    <x v="41"/>
    <x v="4"/>
    <n v="18"/>
    <n v="6.88"/>
    <n v="123.84"/>
    <x v="7"/>
    <n v="6.88"/>
  </r>
  <r>
    <x v="46"/>
    <x v="54"/>
    <x v="42"/>
    <x v="1"/>
    <n v="7"/>
    <n v="28.28"/>
    <n v="197.96"/>
    <x v="7"/>
    <n v="28.28"/>
  </r>
  <r>
    <x v="47"/>
    <x v="55"/>
    <x v="43"/>
    <x v="3"/>
    <n v="20"/>
    <n v="85.76"/>
    <n v="1715.2"/>
    <x v="8"/>
    <n v="85.76"/>
  </r>
  <r>
    <x v="47"/>
    <x v="56"/>
    <x v="11"/>
    <x v="1"/>
    <n v="13"/>
    <n v="47.12"/>
    <n v="612.55999999999995"/>
    <x v="8"/>
    <n v="47.12"/>
  </r>
  <r>
    <x v="47"/>
    <x v="57"/>
    <x v="44"/>
    <x v="2"/>
    <n v="12"/>
    <n v="7.1"/>
    <n v="85.2"/>
    <x v="8"/>
    <n v="7.1000000000000005"/>
  </r>
  <r>
    <x v="48"/>
    <x v="58"/>
    <x v="1"/>
    <x v="2"/>
    <n v="8"/>
    <n v="84.59"/>
    <n v="676.72"/>
    <x v="8"/>
    <n v="84.59"/>
  </r>
  <r>
    <x v="49"/>
    <x v="59"/>
    <x v="45"/>
    <x v="1"/>
    <n v="17"/>
    <n v="41.06"/>
    <n v="698.02"/>
    <x v="8"/>
    <n v="41.06"/>
  </r>
  <r>
    <x v="50"/>
    <x v="60"/>
    <x v="20"/>
    <x v="1"/>
    <n v="13"/>
    <n v="61.45"/>
    <n v="798.85"/>
    <x v="8"/>
    <n v="61.45"/>
  </r>
  <r>
    <x v="51"/>
    <x v="61"/>
    <x v="41"/>
    <x v="0"/>
    <n v="16"/>
    <n v="80.42"/>
    <n v="1286.72"/>
    <x v="8"/>
    <n v="80.42"/>
  </r>
  <r>
    <x v="52"/>
    <x v="62"/>
    <x v="46"/>
    <x v="2"/>
    <n v="11"/>
    <n v="97.6"/>
    <n v="1073.5999999999999"/>
    <x v="8"/>
    <n v="97.6"/>
  </r>
  <r>
    <x v="53"/>
    <x v="63"/>
    <x v="39"/>
    <x v="2"/>
    <n v="2"/>
    <n v="64.260000000000005"/>
    <n v="128.52000000000001"/>
    <x v="8"/>
    <n v="64.260000000000005"/>
  </r>
  <r>
    <x v="53"/>
    <x v="64"/>
    <x v="47"/>
    <x v="3"/>
    <n v="7"/>
    <n v="39.68"/>
    <n v="277.76"/>
    <x v="8"/>
    <n v="39.68"/>
  </r>
  <r>
    <x v="54"/>
    <x v="65"/>
    <x v="2"/>
    <x v="0"/>
    <n v="20"/>
    <n v="91.05"/>
    <n v="1821"/>
    <x v="8"/>
    <n v="91.05"/>
  </r>
  <r>
    <x v="55"/>
    <x v="66"/>
    <x v="48"/>
    <x v="2"/>
    <n v="16"/>
    <n v="54.34"/>
    <n v="869.44"/>
    <x v="8"/>
    <n v="54.34"/>
  </r>
  <r>
    <x v="56"/>
    <x v="67"/>
    <x v="9"/>
    <x v="3"/>
    <n v="2"/>
    <n v="37.24"/>
    <n v="74.48"/>
    <x v="8"/>
    <n v="37.24"/>
  </r>
  <r>
    <x v="57"/>
    <x v="68"/>
    <x v="49"/>
    <x v="4"/>
    <n v="2"/>
    <n v="18.510000000000002"/>
    <n v="37.020000000000003"/>
    <x v="9"/>
    <n v="18.510000000000002"/>
  </r>
  <r>
    <x v="58"/>
    <x v="30"/>
    <x v="50"/>
    <x v="2"/>
    <n v="9"/>
    <n v="98.19"/>
    <n v="883.71"/>
    <x v="9"/>
    <n v="98.19"/>
  </r>
  <r>
    <x v="58"/>
    <x v="69"/>
    <x v="51"/>
    <x v="1"/>
    <n v="11"/>
    <n v="55.04"/>
    <n v="605.44000000000005"/>
    <x v="9"/>
    <n v="55.040000000000006"/>
  </r>
  <r>
    <x v="59"/>
    <x v="70"/>
    <x v="52"/>
    <x v="3"/>
    <n v="17"/>
    <n v="35.93"/>
    <n v="610.80999999999995"/>
    <x v="9"/>
    <n v="35.93"/>
  </r>
  <r>
    <x v="60"/>
    <x v="71"/>
    <x v="35"/>
    <x v="0"/>
    <n v="3"/>
    <n v="98.16"/>
    <n v="294.48"/>
    <x v="9"/>
    <n v="98.160000000000011"/>
  </r>
  <r>
    <x v="60"/>
    <x v="72"/>
    <x v="2"/>
    <x v="4"/>
    <n v="14"/>
    <n v="62.64"/>
    <n v="876.96"/>
    <x v="9"/>
    <n v="62.64"/>
  </r>
  <r>
    <x v="61"/>
    <x v="73"/>
    <x v="53"/>
    <x v="2"/>
    <n v="4"/>
    <n v="9.39"/>
    <n v="37.56"/>
    <x v="10"/>
    <n v="9.39"/>
  </r>
  <r>
    <x v="62"/>
    <x v="74"/>
    <x v="17"/>
    <x v="3"/>
    <n v="12"/>
    <n v="81.36"/>
    <n v="976.32"/>
    <x v="10"/>
    <n v="81.36"/>
  </r>
  <r>
    <x v="63"/>
    <x v="75"/>
    <x v="54"/>
    <x v="1"/>
    <n v="10"/>
    <n v="93.82"/>
    <n v="938.2"/>
    <x v="10"/>
    <n v="93.820000000000007"/>
  </r>
  <r>
    <x v="63"/>
    <x v="76"/>
    <x v="24"/>
    <x v="2"/>
    <n v="15"/>
    <n v="75.12"/>
    <n v="1126.8"/>
    <x v="10"/>
    <n v="75.11999999999999"/>
  </r>
  <r>
    <x v="64"/>
    <x v="77"/>
    <x v="55"/>
    <x v="1"/>
    <n v="9"/>
    <n v="74.78"/>
    <n v="673.02"/>
    <x v="10"/>
    <n v="74.78"/>
  </r>
  <r>
    <x v="65"/>
    <x v="78"/>
    <x v="33"/>
    <x v="1"/>
    <n v="10"/>
    <n v="25.95"/>
    <n v="259.5"/>
    <x v="10"/>
    <n v="25.95"/>
  </r>
  <r>
    <x v="66"/>
    <x v="79"/>
    <x v="47"/>
    <x v="3"/>
    <n v="3"/>
    <n v="21.42"/>
    <n v="64.260000000000005"/>
    <x v="10"/>
    <n v="21.42"/>
  </r>
  <r>
    <x v="67"/>
    <x v="80"/>
    <x v="56"/>
    <x v="4"/>
    <n v="8"/>
    <n v="6.4"/>
    <n v="51.2"/>
    <x v="11"/>
    <n v="6.4"/>
  </r>
  <r>
    <x v="68"/>
    <x v="81"/>
    <x v="57"/>
    <x v="0"/>
    <n v="19"/>
    <n v="45.46"/>
    <n v="863.74"/>
    <x v="11"/>
    <n v="45.46"/>
  </r>
  <r>
    <x v="69"/>
    <x v="82"/>
    <x v="26"/>
    <x v="2"/>
    <n v="8"/>
    <n v="77.37"/>
    <n v="618.96"/>
    <x v="11"/>
    <n v="77.37"/>
  </r>
  <r>
    <x v="70"/>
    <x v="83"/>
    <x v="58"/>
    <x v="4"/>
    <n v="20"/>
    <n v="69.290000000000006"/>
    <n v="1385.8"/>
    <x v="11"/>
    <n v="69.289999999999992"/>
  </r>
  <r>
    <x v="71"/>
    <x v="84"/>
    <x v="59"/>
    <x v="3"/>
    <n v="19"/>
    <n v="98.73"/>
    <n v="1875.87"/>
    <x v="11"/>
    <n v="98.72999999999999"/>
  </r>
  <r>
    <x v="72"/>
    <x v="85"/>
    <x v="60"/>
    <x v="0"/>
    <n v="18"/>
    <n v="8.0500000000000007"/>
    <n v="144.9"/>
    <x v="11"/>
    <n v="8.0500000000000007"/>
  </r>
  <r>
    <x v="73"/>
    <x v="86"/>
    <x v="22"/>
    <x v="2"/>
    <n v="5"/>
    <n v="50.26"/>
    <n v="251.3"/>
    <x v="11"/>
    <n v="50.260000000000005"/>
  </r>
  <r>
    <x v="74"/>
    <x v="87"/>
    <x v="26"/>
    <x v="4"/>
    <n v="12"/>
    <n v="68"/>
    <n v="816"/>
    <x v="11"/>
    <n v="68"/>
  </r>
  <r>
    <x v="74"/>
    <x v="88"/>
    <x v="61"/>
    <x v="3"/>
    <n v="6"/>
    <n v="41.03"/>
    <n v="246.18"/>
    <x v="11"/>
    <n v="41.03"/>
  </r>
  <r>
    <x v="75"/>
    <x v="89"/>
    <x v="33"/>
    <x v="1"/>
    <n v="20"/>
    <n v="87.21"/>
    <n v="1744.2"/>
    <x v="11"/>
    <n v="87.210000000000008"/>
  </r>
  <r>
    <x v="75"/>
    <x v="90"/>
    <x v="62"/>
    <x v="4"/>
    <n v="18"/>
    <n v="86.89"/>
    <n v="1564.02"/>
    <x v="11"/>
    <n v="86.89"/>
  </r>
  <r>
    <x v="76"/>
    <x v="91"/>
    <x v="1"/>
    <x v="0"/>
    <n v="2"/>
    <n v="50.33"/>
    <n v="100.66"/>
    <x v="11"/>
    <n v="50.33"/>
  </r>
  <r>
    <x v="77"/>
    <x v="92"/>
    <x v="40"/>
    <x v="4"/>
    <n v="5"/>
    <n v="88.68"/>
    <n v="443.4"/>
    <x v="11"/>
    <n v="88.679999999999993"/>
  </r>
  <r>
    <x v="78"/>
    <x v="93"/>
    <x v="51"/>
    <x v="2"/>
    <n v="1"/>
    <n v="82.77"/>
    <n v="82.77"/>
    <x v="11"/>
    <n v="82.77"/>
  </r>
  <r>
    <x v="79"/>
    <x v="94"/>
    <x v="50"/>
    <x v="3"/>
    <n v="17"/>
    <n v="46.07"/>
    <n v="783.19"/>
    <x v="12"/>
    <n v="46.07"/>
  </r>
  <r>
    <x v="80"/>
    <x v="95"/>
    <x v="63"/>
    <x v="1"/>
    <n v="8"/>
    <n v="33.659999999999997"/>
    <n v="269.27999999999997"/>
    <x v="12"/>
    <n v="33.659999999999997"/>
  </r>
  <r>
    <x v="81"/>
    <x v="96"/>
    <x v="64"/>
    <x v="0"/>
    <n v="20"/>
    <n v="56.52"/>
    <n v="1130.4000000000001"/>
    <x v="12"/>
    <n v="56.52"/>
  </r>
  <r>
    <x v="82"/>
    <x v="97"/>
    <x v="65"/>
    <x v="3"/>
    <n v="2"/>
    <n v="92.64"/>
    <n v="185.28"/>
    <x v="12"/>
    <n v="92.64"/>
  </r>
  <r>
    <x v="82"/>
    <x v="98"/>
    <x v="26"/>
    <x v="0"/>
    <n v="1"/>
    <n v="70.09"/>
    <n v="70.09"/>
    <x v="12"/>
    <n v="7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A95384-6258-4231-97E7-3B1BECC45ED0}" name="PivotTable2"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C1:D3" firstHeaderRow="1" firstDataRow="1" firstDataCol="1"/>
  <pivotFields count="14">
    <pivotField axis="axisRow"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showAll="0">
      <items count="6">
        <item x="4"/>
        <item x="3"/>
        <item x="1"/>
        <item x="0"/>
        <item x="2"/>
        <item t="default"/>
      </items>
    </pivotField>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5">
        <item sd="0" x="0"/>
        <item sd="0" x="1"/>
        <item sd="0" x="2"/>
        <item sd="0" x="3"/>
        <item t="default"/>
      </items>
    </pivotField>
    <pivotField dragToRow="0" dragToCol="0" dragToPage="0" showAll="0" defaultSubtotal="0"/>
    <pivotField dragToRow="0" dragToCol="0" dragToPage="0" showAll="0" defaultSubtotal="0"/>
  </pivotFields>
  <rowFields count="4">
    <field x="11"/>
    <field x="10"/>
    <field x="9"/>
    <field x="0"/>
  </rowFields>
  <rowItems count="2">
    <i>
      <x v="1"/>
    </i>
    <i>
      <x v="2"/>
    </i>
  </rowItems>
  <colItems count="1">
    <i/>
  </colItems>
  <dataFields count="1">
    <dataField name="Sum of TOTAL SALES ($)"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6B30A7-4E24-4435-AAA0-3E17E4D13F17}" name="PivotTable7"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6">
  <location ref="P1:Q6" firstHeaderRow="1"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measureFilter="1" sortType="ascending">
      <autoSortScope>
        <pivotArea dataOnly="0" outline="0" fieldPosition="0">
          <references count="1">
            <reference field="4294967294" count="1" selected="0">
              <x v="0"/>
            </reference>
          </references>
        </pivotArea>
      </autoSortScope>
    </pivotField>
    <pivotField axis="axisRow" showAll="0" measureFilter="1" sortType="descending">
      <items count="67">
        <item x="7"/>
        <item x="1"/>
        <item x="58"/>
        <item x="19"/>
        <item x="14"/>
        <item x="45"/>
        <item x="41"/>
        <item x="53"/>
        <item x="4"/>
        <item x="5"/>
        <item x="28"/>
        <item x="27"/>
        <item x="23"/>
        <item x="62"/>
        <item x="32"/>
        <item x="37"/>
        <item x="24"/>
        <item x="12"/>
        <item x="16"/>
        <item x="22"/>
        <item x="36"/>
        <item x="59"/>
        <item x="6"/>
        <item x="8"/>
        <item x="30"/>
        <item x="20"/>
        <item x="50"/>
        <item x="56"/>
        <item x="42"/>
        <item x="3"/>
        <item x="64"/>
        <item x="25"/>
        <item x="17"/>
        <item x="40"/>
        <item x="34"/>
        <item x="2"/>
        <item x="29"/>
        <item x="57"/>
        <item x="55"/>
        <item x="38"/>
        <item x="48"/>
        <item x="18"/>
        <item x="10"/>
        <item x="60"/>
        <item x="47"/>
        <item x="11"/>
        <item x="46"/>
        <item x="63"/>
        <item x="43"/>
        <item x="54"/>
        <item x="33"/>
        <item x="35"/>
        <item x="51"/>
        <item x="21"/>
        <item x="52"/>
        <item x="31"/>
        <item x="13"/>
        <item x="61"/>
        <item x="65"/>
        <item x="49"/>
        <item x="15"/>
        <item x="0"/>
        <item x="39"/>
        <item x="26"/>
        <item x="44"/>
        <item x="9"/>
        <item t="default"/>
      </items>
      <autoSortScope>
        <pivotArea dataOnly="0" outline="0" fieldPosition="0">
          <references count="1">
            <reference field="4294967294" count="1" selected="0">
              <x v="0"/>
            </reference>
          </references>
        </pivotArea>
      </autoSortScope>
    </pivotField>
    <pivotField showAll="0">
      <items count="6">
        <item x="4"/>
        <item x="3"/>
        <item x="1"/>
        <item x="0"/>
        <item x="2"/>
        <item t="default"/>
      </items>
    </pivotField>
    <pivotField showAll="0"/>
    <pivotField showAll="0"/>
    <pivotField dataField="1" showAll="0"/>
    <pivotField showAll="0"/>
    <pivotField showAll="0"/>
    <pivotField showAll="0" defaultSubtotal="0"/>
    <pivotField showAll="0" defaultSubtotal="0">
      <items count="6">
        <item x="0"/>
        <item x="1"/>
        <item x="2"/>
        <item x="3"/>
        <item x="4"/>
        <item x="5"/>
      </items>
    </pivotField>
    <pivotField showAll="0" defaultSubtotal="0">
      <items count="4">
        <item x="0"/>
        <item x="1"/>
        <item x="2"/>
        <item x="3"/>
      </items>
    </pivotField>
    <pivotField dragToRow="0" dragToCol="0" dragToPage="0" showAll="0" defaultSubtotal="0"/>
    <pivotField dragToRow="0" dragToCol="0" dragToPage="0" showAll="0" defaultSubtotal="0"/>
  </pivotFields>
  <rowFields count="1">
    <field x="2"/>
  </rowFields>
  <rowItems count="5">
    <i>
      <x v="27"/>
    </i>
    <i>
      <x v="7"/>
    </i>
    <i>
      <x v="59"/>
    </i>
    <i>
      <x v="60"/>
    </i>
    <i>
      <x v="41"/>
    </i>
  </rowItems>
  <colItems count="1">
    <i/>
  </colItems>
  <dataFields count="1">
    <dataField name="Sum of TOTAL SALES ($)" fld="6" baseField="0" baseItem="0" numFmtId="44"/>
  </dataFields>
  <formats count="1">
    <format dxfId="0">
      <pivotArea outline="0" collapsedLevelsAreSubtotals="1" fieldPosition="0"/>
    </format>
  </formats>
  <chartFormats count="6">
    <chartFormat chart="6"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count" evalOrder="-1" id="5" iMeasureFld="0">
      <autoFilter ref="A1">
        <filterColumn colId="0">
          <top10 top="0" val="5" filterVal="5"/>
        </filterColumn>
      </autoFilter>
    </filter>
    <filter fld="2"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D9D338-C6B4-4C20-9376-781A87C22DF1}" name="PivotTable11"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J1:K6" firstHeaderRow="1"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axis="axisRow" showAll="0">
      <items count="6">
        <item x="4"/>
        <item x="3"/>
        <item x="1"/>
        <item x="0"/>
        <item x="2"/>
        <item t="default"/>
      </items>
    </pivotField>
    <pivotField dataField="1" showAll="0"/>
    <pivotField showAll="0"/>
    <pivotField showAll="0"/>
    <pivotField showAll="0"/>
    <pivotField showAll="0"/>
    <pivotField showAll="0" defaultSubtotal="0"/>
    <pivotField showAll="0" defaultSubtotal="0">
      <items count="6">
        <item x="0"/>
        <item x="1"/>
        <item x="2"/>
        <item x="3"/>
        <item x="4"/>
        <item x="5"/>
      </items>
    </pivotField>
    <pivotField showAll="0" defaultSubtotal="0">
      <items count="4">
        <item x="0"/>
        <item x="1"/>
        <item x="2"/>
        <item x="3"/>
      </items>
    </pivotField>
    <pivotField dragToRow="0" dragToCol="0" dragToPage="0" showAll="0" defaultSubtotal="0"/>
    <pivotField dragToRow="0" dragToCol="0" dragToPage="0" showAll="0" defaultSubtotal="0"/>
  </pivotFields>
  <rowFields count="1">
    <field x="3"/>
  </rowFields>
  <rowItems count="5">
    <i>
      <x/>
    </i>
    <i>
      <x v="1"/>
    </i>
    <i>
      <x v="2"/>
    </i>
    <i>
      <x v="3"/>
    </i>
    <i>
      <x v="4"/>
    </i>
  </rowItems>
  <colItems count="1">
    <i/>
  </colItems>
  <dataFields count="1">
    <dataField name="Sum of QUANTITY SOLD" fld="4" baseField="0" baseItem="0"/>
  </dataFields>
  <chartFormats count="1">
    <chartFormat chart="1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9A3457-AAEB-48AE-8D97-AFA1295986C4}" name="PivotTable6" cacheId="6"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outline="1" outlineData="1" multipleFieldFilters="0" chartFormat="36">
  <location ref="N1:O6" firstHeaderRow="1"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measureFilter="1" sortType="descending">
      <autoSortScope>
        <pivotArea dataOnly="0" outline="0" fieldPosition="0">
          <references count="1">
            <reference field="4294967294" count="1" selected="0">
              <x v="0"/>
            </reference>
          </references>
        </pivotArea>
      </autoSortScope>
    </pivotField>
    <pivotField axis="axisRow" showAll="0" measureFilter="1" sortType="ascending">
      <items count="67">
        <item x="7"/>
        <item x="1"/>
        <item x="58"/>
        <item x="19"/>
        <item x="14"/>
        <item x="45"/>
        <item x="41"/>
        <item x="53"/>
        <item x="4"/>
        <item x="5"/>
        <item x="28"/>
        <item x="27"/>
        <item x="23"/>
        <item x="62"/>
        <item x="32"/>
        <item x="37"/>
        <item x="24"/>
        <item x="12"/>
        <item x="16"/>
        <item x="22"/>
        <item x="36"/>
        <item x="59"/>
        <item x="6"/>
        <item x="8"/>
        <item x="30"/>
        <item x="20"/>
        <item x="50"/>
        <item x="56"/>
        <item x="42"/>
        <item x="3"/>
        <item x="64"/>
        <item x="25"/>
        <item x="17"/>
        <item x="40"/>
        <item x="34"/>
        <item x="2"/>
        <item x="29"/>
        <item x="57"/>
        <item x="55"/>
        <item x="38"/>
        <item x="48"/>
        <item x="18"/>
        <item x="10"/>
        <item x="60"/>
        <item x="47"/>
        <item x="11"/>
        <item x="46"/>
        <item x="63"/>
        <item x="43"/>
        <item x="54"/>
        <item x="33"/>
        <item x="35"/>
        <item x="51"/>
        <item x="21"/>
        <item x="52"/>
        <item x="31"/>
        <item x="13"/>
        <item x="61"/>
        <item x="65"/>
        <item x="49"/>
        <item x="15"/>
        <item x="0"/>
        <item x="39"/>
        <item x="26"/>
        <item x="44"/>
        <item x="9"/>
        <item t="default"/>
      </items>
      <autoSortScope>
        <pivotArea dataOnly="0" outline="0" fieldPosition="0">
          <references count="1">
            <reference field="4294967294" count="1" selected="0">
              <x v="0"/>
            </reference>
          </references>
        </pivotArea>
      </autoSortScope>
    </pivotField>
    <pivotField showAll="0">
      <items count="6">
        <item x="4"/>
        <item x="3"/>
        <item x="1"/>
        <item x="0"/>
        <item x="2"/>
        <item t="default"/>
      </items>
    </pivotField>
    <pivotField showAll="0"/>
    <pivotField showAll="0"/>
    <pivotField dataField="1" showAll="0"/>
    <pivotField showAll="0"/>
    <pivotField showAll="0"/>
    <pivotField showAll="0" defaultSubtotal="0"/>
    <pivotField showAll="0" defaultSubtotal="0">
      <items count="6">
        <item x="0"/>
        <item x="1"/>
        <item x="2"/>
        <item x="3"/>
        <item x="4"/>
        <item x="5"/>
      </items>
    </pivotField>
    <pivotField showAll="0" defaultSubtotal="0">
      <items count="4">
        <item x="0"/>
        <item x="1"/>
        <item x="2"/>
        <item x="3"/>
      </items>
    </pivotField>
    <pivotField dragToRow="0" dragToCol="0" dragToPage="0" showAll="0" defaultSubtotal="0"/>
    <pivotField dragToRow="0" dragToCol="0" dragToPage="0" showAll="0" defaultSubtotal="0"/>
  </pivotFields>
  <rowFields count="1">
    <field x="2"/>
  </rowFields>
  <rowItems count="5">
    <i>
      <x v="63"/>
    </i>
    <i>
      <x v="35"/>
    </i>
    <i>
      <x v="4"/>
    </i>
    <i>
      <x v="16"/>
    </i>
    <i>
      <x v="1"/>
    </i>
  </rowItems>
  <colItems count="1">
    <i/>
  </colItems>
  <dataFields count="1">
    <dataField name="Sum of TOTAL SALES ($)" fld="6" baseField="0" baseItem="0" numFmtId="44"/>
  </dataFields>
  <formats count="1">
    <format dxfId="1">
      <pivotArea outline="0" collapsedLevelsAreSubtotals="1" fieldPosition="0"/>
    </format>
  </formats>
  <chartFormats count="1">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count" evalOrder="-1" id="4" iMeasureFld="0">
      <autoFilter ref="A1">
        <filterColumn colId="0">
          <top10 val="5" filterVal="5"/>
        </filterColumn>
      </autoFilter>
    </filter>
    <filter fld="2"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E2C82A-6036-45E9-8938-FFA29DAA33C9}" name="PivotTable1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5">
  <location ref="T1:U7" firstHeaderRow="1"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axis="axisRow" showAll="0">
      <items count="6">
        <item x="4"/>
        <item x="3"/>
        <item x="1"/>
        <item x="0"/>
        <item x="2"/>
        <item t="default"/>
      </items>
    </pivotField>
    <pivotField showAll="0"/>
    <pivotField numFmtId="44" showAll="0"/>
    <pivotField dataField="1" numFmtId="44" showAll="0"/>
    <pivotField showAll="0"/>
    <pivotField numFmtId="44" showAll="0"/>
    <pivotField showAll="0" defaultSubtotal="0"/>
    <pivotField showAll="0" defaultSubtotal="0">
      <items count="6">
        <item x="0"/>
        <item x="1"/>
        <item x="2"/>
        <item x="3"/>
        <item x="4"/>
        <item x="5"/>
      </items>
    </pivotField>
    <pivotField showAll="0" defaultSubtotal="0">
      <items count="4">
        <item x="0"/>
        <item x="1"/>
        <item x="2"/>
        <item x="3"/>
      </items>
    </pivotField>
    <pivotField dragToRow="0" dragToCol="0" dragToPage="0" showAll="0" defaultSubtotal="0"/>
    <pivotField dragToRow="0" dragToCol="0" dragToPage="0" showAll="0" defaultSubtotal="0"/>
  </pivotFields>
  <rowFields count="1">
    <field x="3"/>
  </rowFields>
  <rowItems count="6">
    <i>
      <x/>
    </i>
    <i>
      <x v="1"/>
    </i>
    <i>
      <x v="2"/>
    </i>
    <i>
      <x v="3"/>
    </i>
    <i>
      <x v="4"/>
    </i>
    <i t="grand">
      <x/>
    </i>
  </rowItems>
  <colItems count="1">
    <i/>
  </colItems>
  <dataFields count="1">
    <dataField name="Sum of TOTAL SALES ($)" fld="6" showDataAs="percentOfTotal" baseField="3"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 chart="0" format="5">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DED2E6E-AFC3-4A0C-9733-4D0E079E21C7}" name="PivotTable14"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8">
  <location ref="R1:S6" firstHeaderRow="1"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axis="axisRow" showAll="0" measureFilter="1" sortType="descending">
      <items count="67">
        <item x="7"/>
        <item x="1"/>
        <item x="58"/>
        <item x="19"/>
        <item x="14"/>
        <item x="45"/>
        <item x="41"/>
        <item x="53"/>
        <item x="4"/>
        <item x="5"/>
        <item x="28"/>
        <item x="27"/>
        <item x="23"/>
        <item x="62"/>
        <item x="32"/>
        <item x="37"/>
        <item x="24"/>
        <item x="12"/>
        <item x="16"/>
        <item x="22"/>
        <item x="36"/>
        <item x="59"/>
        <item x="6"/>
        <item x="8"/>
        <item x="30"/>
        <item x="20"/>
        <item x="50"/>
        <item x="56"/>
        <item x="42"/>
        <item x="3"/>
        <item x="64"/>
        <item x="25"/>
        <item x="17"/>
        <item x="40"/>
        <item x="34"/>
        <item x="2"/>
        <item x="29"/>
        <item x="57"/>
        <item x="55"/>
        <item x="38"/>
        <item x="48"/>
        <item x="18"/>
        <item x="10"/>
        <item x="60"/>
        <item x="47"/>
        <item x="11"/>
        <item x="46"/>
        <item x="63"/>
        <item x="43"/>
        <item x="54"/>
        <item x="33"/>
        <item x="35"/>
        <item x="51"/>
        <item x="21"/>
        <item x="52"/>
        <item x="31"/>
        <item x="13"/>
        <item x="61"/>
        <item x="65"/>
        <item x="49"/>
        <item x="15"/>
        <item x="0"/>
        <item x="39"/>
        <item x="26"/>
        <item x="44"/>
        <item x="9"/>
        <item t="default"/>
      </items>
      <autoSortScope>
        <pivotArea dataOnly="0" outline="0" fieldPosition="0">
          <references count="1">
            <reference field="4294967294" count="1" selected="0">
              <x v="0"/>
            </reference>
          </references>
        </pivotArea>
      </autoSortScope>
    </pivotField>
    <pivotField showAll="0">
      <items count="6">
        <item x="4"/>
        <item x="3"/>
        <item x="1"/>
        <item x="0"/>
        <item x="2"/>
        <item t="default"/>
      </items>
    </pivotField>
    <pivotField showAll="0"/>
    <pivotField showAll="0"/>
    <pivotField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 dragToRow="0" dragToCol="0" dragToPage="0" showAll="0" defaultSubtotal="0"/>
  </pivotFields>
  <rowFields count="1">
    <field x="2"/>
  </rowFields>
  <rowItems count="5">
    <i>
      <x v="1"/>
    </i>
    <i>
      <x v="63"/>
    </i>
    <i>
      <x v="16"/>
    </i>
    <i>
      <x v="4"/>
    </i>
    <i>
      <x v="35"/>
    </i>
  </rowItems>
  <colItems count="1">
    <i/>
  </colItems>
  <dataFields count="1">
    <dataField name="Sum of Revenue-to-Quantity" fld="8" baseField="0" baseItem="0" numFmtId="44"/>
  </dataFields>
  <formats count="1">
    <format dxfId="2">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141C916-1C21-4931-BBC9-E876856D434D}" name="PivotTable8"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G1:I6" firstHeaderRow="0" firstDataRow="1" firstDataCol="1"/>
  <pivotFields count="3">
    <pivotField axis="axisRow" showAll="0" defaultSubtotal="0">
      <items count="5">
        <item x="4"/>
        <item x="3"/>
        <item x="1"/>
        <item x="0"/>
        <item x="2"/>
      </items>
    </pivotField>
    <pivotField dataField="1" showAll="0" defaultSubtotal="0">
      <items count="5">
        <item x="2"/>
        <item x="0"/>
        <item x="4"/>
        <item x="1"/>
        <item x="3"/>
      </items>
    </pivotField>
    <pivotField dataField="1" showAll="0" defaultSubtotal="0">
      <items count="5">
        <item x="2"/>
        <item x="0"/>
        <item x="4"/>
        <item x="1"/>
        <item x="3"/>
      </items>
    </pivotField>
  </pivotFields>
  <rowFields count="1">
    <field x="0"/>
  </rowFields>
  <rowItems count="5">
    <i>
      <x/>
    </i>
    <i>
      <x v="1"/>
    </i>
    <i>
      <x v="2"/>
    </i>
    <i>
      <x v="3"/>
    </i>
    <i>
      <x v="4"/>
    </i>
  </rowItems>
  <colFields count="1">
    <field x="-2"/>
  </colFields>
  <colItems count="2">
    <i>
      <x/>
    </i>
    <i i="1">
      <x v="1"/>
    </i>
  </colItems>
  <dataFields count="2">
    <dataField name=" $ Sales" fld="1" baseField="0" baseItem="0" numFmtId="164"/>
    <dataField name="x Sold" fld="2" baseField="0" baseItem="0"/>
  </dataFields>
  <formats count="1">
    <format dxfId="3">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341B13C-2DBA-42EC-B21C-8A432E881184}"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15" firstHeaderRow="1"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showAll="0">
      <items count="6">
        <item x="4"/>
        <item x="3"/>
        <item x="1"/>
        <item x="0"/>
        <item x="2"/>
        <item t="default"/>
      </items>
    </pivotField>
    <pivotField showAll="0"/>
    <pivotField showAll="0"/>
    <pivotField dataField="1" showAll="0"/>
    <pivotField axis="axisRow" showAll="0">
      <items count="14">
        <item x="0"/>
        <item x="1"/>
        <item x="2"/>
        <item x="3"/>
        <item x="4"/>
        <item x="5"/>
        <item x="6"/>
        <item x="7"/>
        <item x="8"/>
        <item x="9"/>
        <item x="10"/>
        <item x="11"/>
        <item x="1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 dragToRow="0" dragToCol="0" dragToPage="0" showAll="0" defaultSubtotal="0"/>
  </pivotFields>
  <rowFields count="1">
    <field x="7"/>
  </rowFields>
  <rowItems count="14">
    <i>
      <x/>
    </i>
    <i>
      <x v="1"/>
    </i>
    <i>
      <x v="2"/>
    </i>
    <i>
      <x v="3"/>
    </i>
    <i>
      <x v="4"/>
    </i>
    <i>
      <x v="5"/>
    </i>
    <i>
      <x v="6"/>
    </i>
    <i>
      <x v="7"/>
    </i>
    <i>
      <x v="8"/>
    </i>
    <i>
      <x v="9"/>
    </i>
    <i>
      <x v="10"/>
    </i>
    <i>
      <x v="11"/>
    </i>
    <i>
      <x v="12"/>
    </i>
    <i t="grand">
      <x/>
    </i>
  </rowItems>
  <colItems count="1">
    <i/>
  </colItems>
  <dataFields count="1">
    <dataField name="Sum of TOTAL SALES ($)" fld="6" baseField="0" baseItem="0" numFmtId="44"/>
  </dataFields>
  <formats count="1">
    <format dxfId="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AC2542B-7472-4081-8142-B8634B6AF632}" name="PivotTable4"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X1:Z100" firstHeaderRow="0"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axis="axisRow" showAll="0">
      <items count="100">
        <item x="84"/>
        <item x="90"/>
        <item x="82"/>
        <item x="88"/>
        <item x="45"/>
        <item x="52"/>
        <item x="58"/>
        <item x="19"/>
        <item x="48"/>
        <item x="70"/>
        <item x="55"/>
        <item x="9"/>
        <item x="83"/>
        <item x="38"/>
        <item x="57"/>
        <item x="12"/>
        <item x="91"/>
        <item x="28"/>
        <item x="50"/>
        <item x="14"/>
        <item x="10"/>
        <item x="8"/>
        <item x="96"/>
        <item x="22"/>
        <item x="95"/>
        <item x="63"/>
        <item x="46"/>
        <item x="6"/>
        <item x="18"/>
        <item x="64"/>
        <item x="15"/>
        <item x="21"/>
        <item x="69"/>
        <item x="36"/>
        <item x="42"/>
        <item x="74"/>
        <item x="13"/>
        <item x="26"/>
        <item x="75"/>
        <item x="94"/>
        <item x="92"/>
        <item x="93"/>
        <item x="20"/>
        <item x="33"/>
        <item x="47"/>
        <item x="0"/>
        <item x="3"/>
        <item x="65"/>
        <item x="67"/>
        <item x="56"/>
        <item x="78"/>
        <item x="89"/>
        <item x="39"/>
        <item x="2"/>
        <item x="41"/>
        <item x="27"/>
        <item x="40"/>
        <item x="86"/>
        <item x="51"/>
        <item x="85"/>
        <item x="37"/>
        <item x="66"/>
        <item x="77"/>
        <item x="72"/>
        <item x="5"/>
        <item x="62"/>
        <item x="79"/>
        <item x="53"/>
        <item x="23"/>
        <item x="11"/>
        <item x="4"/>
        <item x="35"/>
        <item x="31"/>
        <item x="49"/>
        <item x="29"/>
        <item x="98"/>
        <item x="97"/>
        <item x="81"/>
        <item x="61"/>
        <item x="34"/>
        <item x="73"/>
        <item x="32"/>
        <item x="24"/>
        <item x="59"/>
        <item x="16"/>
        <item x="87"/>
        <item x="43"/>
        <item x="60"/>
        <item x="68"/>
        <item x="30"/>
        <item x="76"/>
        <item x="44"/>
        <item x="80"/>
        <item x="17"/>
        <item x="7"/>
        <item x="71"/>
        <item x="54"/>
        <item x="1"/>
        <item x="25"/>
        <item t="default"/>
      </items>
    </pivotField>
    <pivotField showAll="0"/>
    <pivotField showAll="0">
      <items count="6">
        <item x="4"/>
        <item x="3"/>
        <item x="1"/>
        <item x="0"/>
        <item x="2"/>
        <item t="default"/>
      </items>
    </pivotField>
    <pivotField showAll="0"/>
    <pivotField dataField="1" numFmtId="44" showAll="0"/>
    <pivotField dataField="1" numFmtId="44" showAll="0"/>
    <pivotField showAll="0"/>
    <pivotField numFmtId="44" showAll="0"/>
    <pivotField showAll="0" defaultSubtotal="0"/>
    <pivotField showAll="0" defaultSubtotal="0">
      <items count="6">
        <item x="0"/>
        <item x="1"/>
        <item x="2"/>
        <item x="3"/>
        <item x="4"/>
        <item x="5"/>
      </items>
    </pivotField>
    <pivotField showAll="0" defaultSubtotal="0">
      <items count="4">
        <item x="0"/>
        <item x="1"/>
        <item x="2"/>
        <item x="3"/>
      </items>
    </pivotField>
    <pivotField dragToRow="0" dragToCol="0" dragToPage="0" showAll="0" defaultSubtotal="0"/>
    <pivotField dragToRow="0" dragToCol="0" dragToPage="0" showAll="0" defaultSubtotal="0"/>
  </pivotFields>
  <rowFields count="1">
    <field x="1"/>
  </rowFields>
  <rowItems count="9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rowItems>
  <colFields count="1">
    <field x="-2"/>
  </colFields>
  <colItems count="2">
    <i>
      <x/>
    </i>
    <i i="1">
      <x v="1"/>
    </i>
  </colItems>
  <dataFields count="2">
    <dataField name="Sum of TOTAL SALES ($)" fld="6" baseField="0" baseItem="0" numFmtId="44"/>
    <dataField name="Sum of UNIT PRICE ($)" fld="5"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D183E60-E4B3-4924-ACD3-05AF23A71DCD}" name="PivotTable5"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V1:W14" firstHeaderRow="1"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showAll="0">
      <items count="6">
        <item x="4"/>
        <item x="3"/>
        <item x="1"/>
        <item x="0"/>
        <item x="2"/>
        <item t="default"/>
      </items>
    </pivotField>
    <pivotField dataField="1" showAll="0"/>
    <pivotField numFmtId="44" showAll="0"/>
    <pivotField numFmtId="44" showAll="0"/>
    <pivotField axis="axisRow" showAll="0">
      <items count="14">
        <item x="0"/>
        <item x="1"/>
        <item x="2"/>
        <item x="3"/>
        <item x="4"/>
        <item x="5"/>
        <item x="6"/>
        <item x="7"/>
        <item x="8"/>
        <item x="9"/>
        <item x="10"/>
        <item x="11"/>
        <item x="12"/>
        <item t="default"/>
      </items>
    </pivotField>
    <pivotField numFmtId="44" showAll="0"/>
    <pivotField showAll="0" defaultSubtotal="0"/>
    <pivotField showAll="0" defaultSubtotal="0">
      <items count="6">
        <item x="0"/>
        <item x="1"/>
        <item x="2"/>
        <item x="3"/>
        <item x="4"/>
        <item x="5"/>
      </items>
    </pivotField>
    <pivotField showAll="0" defaultSubtotal="0">
      <items count="4">
        <item x="0"/>
        <item x="1"/>
        <item x="2"/>
        <item x="3"/>
      </items>
    </pivotField>
    <pivotField dragToRow="0" dragToCol="0" dragToPage="0" showAll="0" defaultSubtotal="0"/>
    <pivotField dragToRow="0" dragToCol="0" dragToPage="0" showAll="0" defaultSubtotal="0"/>
  </pivotFields>
  <rowFields count="1">
    <field x="7"/>
  </rowFields>
  <rowItems count="13">
    <i>
      <x/>
    </i>
    <i>
      <x v="1"/>
    </i>
    <i>
      <x v="2"/>
    </i>
    <i>
      <x v="3"/>
    </i>
    <i>
      <x v="4"/>
    </i>
    <i>
      <x v="5"/>
    </i>
    <i>
      <x v="6"/>
    </i>
    <i>
      <x v="7"/>
    </i>
    <i>
      <x v="8"/>
    </i>
    <i>
      <x v="9"/>
    </i>
    <i>
      <x v="10"/>
    </i>
    <i>
      <x v="11"/>
    </i>
    <i>
      <x v="12"/>
    </i>
  </rowItems>
  <colItems count="1">
    <i/>
  </colItems>
  <dataFields count="1">
    <dataField name="Sum of QUANTITY SOLD" fld="4"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0D68A3D-BD19-402C-BF7D-9B2AE83AA2BD}" name="PivotTable12"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4">
  <location ref="L1:M6" firstHeaderRow="1" firstDataRow="1" firstDataCol="1"/>
  <pivotFields count="14">
    <pivotField numFmtId="14"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axis="axisRow" showAll="0">
      <items count="6">
        <item x="4"/>
        <item x="3"/>
        <item x="1"/>
        <item x="0"/>
        <item x="2"/>
        <item t="default"/>
      </items>
    </pivotField>
    <pivotField showAll="0"/>
    <pivotField numFmtId="44" showAll="0"/>
    <pivotField dataField="1" numFmtId="44" showAll="0"/>
    <pivotField showAll="0"/>
    <pivotField numFmtId="44" showAll="0"/>
    <pivotField showAll="0" defaultSubtotal="0"/>
    <pivotField showAll="0" defaultSubtotal="0">
      <items count="6">
        <item x="0"/>
        <item x="1"/>
        <item x="2"/>
        <item x="3"/>
        <item x="4"/>
        <item x="5"/>
      </items>
    </pivotField>
    <pivotField showAll="0" defaultSubtotal="0">
      <items count="4">
        <item x="0"/>
        <item x="1"/>
        <item x="2"/>
        <item x="3"/>
      </items>
    </pivotField>
    <pivotField dragToRow="0" dragToCol="0" dragToPage="0" showAll="0" defaultSubtotal="0"/>
    <pivotField dragToRow="0" dragToCol="0" dragToPage="0" showAll="0" defaultSubtotal="0"/>
  </pivotFields>
  <rowFields count="1">
    <field x="3"/>
  </rowFields>
  <rowItems count="5">
    <i>
      <x/>
    </i>
    <i>
      <x v="1"/>
    </i>
    <i>
      <x v="2"/>
    </i>
    <i>
      <x v="3"/>
    </i>
    <i>
      <x v="4"/>
    </i>
  </rowItems>
  <colItems count="1">
    <i/>
  </colItems>
  <dataFields count="1">
    <dataField name="Sum of TOTAL SALES ($)" fld="6" baseField="0" baseItem="0" numFmtId="44"/>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F104474-24B9-428E-8C32-1DC8134BB3CD}" autoFormatId="16" applyNumberFormats="0" applyBorderFormats="0" applyFontFormats="0" applyPatternFormats="0" applyAlignmentFormats="0" applyWidthHeightFormats="0">
  <queryTableRefresh nextId="8">
    <queryTableFields count="7">
      <queryTableField id="1" name="Date" tableColumnId="1"/>
      <queryTableField id="2" name="Item ID" tableColumnId="2"/>
      <queryTableField id="3" name="Item Name" tableColumnId="3"/>
      <queryTableField id="4" name="Category" tableColumnId="4"/>
      <queryTableField id="5" name="Quantity Sold" tableColumnId="5"/>
      <queryTableField id="6" name="Unit Price ($)" tableColumnId="6"/>
      <queryTableField id="7" name="Total Sales ($)" tableColumnId="7"/>
    </queryTableFields>
  </queryTableRefresh>
  <extLst>
    <ext xmlns:x15="http://schemas.microsoft.com/office/spreadsheetml/2010/11/main" uri="{883FBD77-0823-4a55-B5E3-86C4891E6966}">
      <x15:queryTable sourceDataName="Query - Table001 (Page 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73450C6-AAFF-440B-8D18-FA85E346FCA2}" sourceName="CATEGORY">
  <pivotTables>
    <pivotTable tabId="9" name="PivotTable1"/>
    <pivotTable tabId="9" name="PivotTable14"/>
    <pivotTable tabId="9" name="PivotTable2"/>
    <pivotTable tabId="9" name="PivotTable6"/>
    <pivotTable tabId="9" name="PivotTable7"/>
    <pivotTable tabId="9" name="PivotTable11"/>
    <pivotTable tabId="9" name="PivotTable12"/>
    <pivotTable tabId="9" name="PivotTable5"/>
    <pivotTable tabId="9" name="PivotTable4"/>
  </pivotTables>
  <data>
    <tabular pivotCacheId="1191833496">
      <items count="5">
        <i x="4" s="1"/>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DATE" xr10:uid="{ECF094FD-F458-4E3F-81C8-1D3D6430648F}" sourceName="Quarters (DATE)">
  <pivotTables>
    <pivotTable tabId="9" name="PivotTable1"/>
    <pivotTable tabId="9" name="PivotTable14"/>
    <pivotTable tabId="9" name="PivotTable2"/>
    <pivotTable tabId="9" name="PivotTable6"/>
    <pivotTable tabId="9" name="PivotTable7"/>
    <pivotTable tabId="9" name="PivotTable11"/>
    <pivotTable tabId="9" name="PivotTable12"/>
    <pivotTable tabId="9" name="PivotTable13"/>
    <pivotTable tabId="9" name="PivotTable5"/>
    <pivotTable tabId="9" name="PivotTable4"/>
  </pivotTables>
  <data>
    <tabular pivotCacheId="1191833496" sortOrder="descending">
      <items count="6">
        <i x="4" s="1"/>
        <i x="3" s="1"/>
        <i x="2" s="1"/>
        <i x="1" s="1"/>
        <i x="5"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C8416550-1FC7-4DE5-9CD9-D502E3F11C19}" cache="Slicer_CATEGORY" style="Slicer Style 1" rowHeight="247650"/>
  <slicer name="Quarters" xr10:uid="{6A18B0B4-FCEF-48C7-9A9F-DADF694FCCEB}" cache="Slicer_Quarters__DATE" style="Slicer Style 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0C499B-B8D9-4808-B752-F2B221E56D51}" name="Table001__Page_1" displayName="Table001__Page_1" ref="B3:H103" tableType="queryTable" totalsRowShown="0">
  <autoFilter ref="B3:H103" xr:uid="{7E0C499B-B8D9-4808-B752-F2B221E56D51}"/>
  <tableColumns count="7">
    <tableColumn id="1" xr3:uid="{E20DF904-F277-4AE7-B6C3-E8DCE0068DFC}" uniqueName="1" name="Date" queryTableFieldId="1" dataDxfId="20"/>
    <tableColumn id="2" xr3:uid="{69E6B25C-E9CE-4D1C-8F1B-54381FB86DC3}" uniqueName="2" name="Item ID" queryTableFieldId="2" dataDxfId="19"/>
    <tableColumn id="3" xr3:uid="{83BA6389-A8AE-4BB8-87A2-D50A7FB84F48}" uniqueName="3" name="Item Name" queryTableFieldId="3" dataDxfId="18"/>
    <tableColumn id="4" xr3:uid="{443476B6-D46F-47FB-8AE9-68AED1750213}" uniqueName="4" name="Category" queryTableFieldId="4" dataDxfId="17"/>
    <tableColumn id="5" xr3:uid="{664EB18C-ACCA-4574-9696-64444612B722}" uniqueName="5" name="Quantity Sold" queryTableFieldId="5"/>
    <tableColumn id="6" xr3:uid="{AE902455-7DF2-4098-B596-3F26C96EA174}" uniqueName="6" name="Unit Price ($)" queryTableFieldId="6"/>
    <tableColumn id="7" xr3:uid="{B166900D-A050-45AE-A016-C3A3784B52AB}" uniqueName="7" name="Total Sales ($)"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E9EFC8-EB19-4914-9DF8-AFB653693BBF}" name="salesTable" displayName="salesTable" ref="B5:J100" totalsRowShown="0" headerRowDxfId="16" headerRowBorderDxfId="15" tableBorderDxfId="14">
  <sortState xmlns:xlrd2="http://schemas.microsoft.com/office/spreadsheetml/2017/richdata2" ref="B6:J100">
    <sortCondition ref="B5:B100"/>
  </sortState>
  <tableColumns count="9">
    <tableColumn id="1" xr3:uid="{133135E9-6D2E-4043-844D-9B819BF9107D}" name="DATE" dataDxfId="13"/>
    <tableColumn id="2" xr3:uid="{1F872635-0118-40E8-95D9-404F7736B3DB}" name="ITEM ID" dataDxfId="12"/>
    <tableColumn id="3" xr3:uid="{3D618967-C86F-4ED4-A847-7FE89A836AC7}" name="ITEM NAME" dataDxfId="11"/>
    <tableColumn id="4" xr3:uid="{CD135964-0294-4A39-A2C3-C2A1A0A6AE13}" name="CATEGORY" dataDxfId="10"/>
    <tableColumn id="5" xr3:uid="{BA9C3CC7-B614-4BA2-A4DE-026E2562DD8C}" name="QUANTITY SOLD" dataDxfId="9"/>
    <tableColumn id="6" xr3:uid="{5B6C9A56-E4EB-4F7F-8EC5-2D71478E1C2B}" name="UNIT PRICE ($)" dataDxfId="8" dataCellStyle="Currency"/>
    <tableColumn id="7" xr3:uid="{0D0E8A71-B69D-4C65-AC3C-E3C92E8FE15E}" name="TOTAL SALES ($)" dataDxfId="7" dataCellStyle="Currency"/>
    <tableColumn id="8" xr3:uid="{40FCF2F5-F35C-4B37-9189-F44EBA9A7A30}" name="Month" dataDxfId="6">
      <calculatedColumnFormula>TEXT(salesTable[[#This Row],[DATE]],"YYYY-MM")</calculatedColumnFormula>
    </tableColumn>
    <tableColumn id="9" xr3:uid="{C76FE9C9-F0D1-4D45-AF89-6843E7C60A67}" name="Revenue-to-Quantity" dataDxfId="5" dataCellStyle="Currency">
      <calculatedColumnFormula>salesTable[[#This Row],[TOTAL SALES ($)]]/salesTable[[#This Row],[QUANTITY SOLD]]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F3B0998-0B83-440F-972E-C69B8CCF25DE}" name="Table6" displayName="Table6" ref="E1:F67" totalsRowShown="0">
  <sortState xmlns:xlrd2="http://schemas.microsoft.com/office/spreadsheetml/2017/richdata2" ref="E2:F67">
    <sortCondition descending="1" ref="F1:F67"/>
  </sortState>
  <tableColumns count="2">
    <tableColumn id="1" xr3:uid="{C55EB5B0-2EE7-4D97-9FF3-4237CB92A70D}" name="Item">
      <calculatedColumnFormula>'Designed Data'!D6</calculatedColumnFormula>
    </tableColumn>
    <tableColumn id="2" xr3:uid="{41957169-08E5-4173-928D-1A1F825E0A40}" name="Count">
      <calculatedColumnFormula>COUNTIF(salesTable[ITEM NAME],PivotTable!E2)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B5" dT="2025-01-18T18:43:17.20" personId="{69E90BE0-993B-4649-A918-7302A9B2F936}" id="{7D2F7ADD-69AA-474B-8D0D-14734A971A33}">
    <text>For the year of 2024</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6C8F6-2532-4556-ACFE-54B682F2231A}">
  <sheetPr codeName="Sheet1"/>
  <dimension ref="B3:H103"/>
  <sheetViews>
    <sheetView topLeftCell="A52" zoomScale="75" zoomScaleNormal="75" workbookViewId="0">
      <selection activeCell="B3" sqref="B3"/>
    </sheetView>
  </sheetViews>
  <sheetFormatPr defaultRowHeight="14.4" x14ac:dyDescent="0.3"/>
  <cols>
    <col min="2" max="2" width="10.33203125" bestFit="1" customWidth="1"/>
    <col min="3" max="3" width="9.21875" bestFit="1" customWidth="1"/>
    <col min="4" max="4" width="12.44140625" bestFit="1" customWidth="1"/>
    <col min="5" max="5" width="11.44140625" bestFit="1" customWidth="1"/>
    <col min="6" max="6" width="14.44140625" bestFit="1" customWidth="1"/>
    <col min="7" max="7" width="14" bestFit="1" customWidth="1"/>
    <col min="8" max="8" width="14.88671875" bestFit="1" customWidth="1"/>
  </cols>
  <sheetData>
    <row r="3" spans="2:8" x14ac:dyDescent="0.3">
      <c r="B3" t="s">
        <v>178</v>
      </c>
      <c r="C3" t="s">
        <v>179</v>
      </c>
      <c r="D3" t="s">
        <v>180</v>
      </c>
      <c r="E3" t="s">
        <v>181</v>
      </c>
      <c r="F3" t="s">
        <v>182</v>
      </c>
      <c r="G3" t="s">
        <v>183</v>
      </c>
      <c r="H3" t="s">
        <v>184</v>
      </c>
    </row>
    <row r="4" spans="2:8" x14ac:dyDescent="0.3">
      <c r="B4" s="1">
        <v>45333</v>
      </c>
      <c r="C4" t="s">
        <v>0</v>
      </c>
      <c r="D4" t="s">
        <v>1</v>
      </c>
      <c r="E4" t="s">
        <v>2</v>
      </c>
      <c r="F4">
        <v>15</v>
      </c>
      <c r="G4">
        <v>63.83</v>
      </c>
      <c r="H4">
        <v>957.45</v>
      </c>
    </row>
    <row r="5" spans="2:8" x14ac:dyDescent="0.3">
      <c r="B5" s="1">
        <v>45565</v>
      </c>
      <c r="C5" t="s">
        <v>3</v>
      </c>
      <c r="D5" t="s">
        <v>4</v>
      </c>
      <c r="E5" t="s">
        <v>2</v>
      </c>
      <c r="F5">
        <v>2</v>
      </c>
      <c r="G5">
        <v>37.24</v>
      </c>
      <c r="H5">
        <v>74.48</v>
      </c>
    </row>
    <row r="6" spans="2:8" x14ac:dyDescent="0.3">
      <c r="B6" s="1">
        <v>45363</v>
      </c>
      <c r="C6" t="s">
        <v>5</v>
      </c>
      <c r="D6" t="s">
        <v>6</v>
      </c>
      <c r="E6" t="s">
        <v>7</v>
      </c>
      <c r="F6">
        <v>14</v>
      </c>
      <c r="G6">
        <v>68.150000000000006</v>
      </c>
      <c r="H6">
        <v>954.1</v>
      </c>
    </row>
    <row r="7" spans="2:8" x14ac:dyDescent="0.3">
      <c r="B7" s="1">
        <v>45467</v>
      </c>
      <c r="C7" t="s">
        <v>8</v>
      </c>
      <c r="D7" t="s">
        <v>9</v>
      </c>
      <c r="E7" t="s">
        <v>10</v>
      </c>
      <c r="F7">
        <v>18</v>
      </c>
      <c r="G7">
        <v>40.28</v>
      </c>
      <c r="H7">
        <v>725.04</v>
      </c>
    </row>
    <row r="8" spans="2:8" x14ac:dyDescent="0.3">
      <c r="B8" s="1">
        <v>45532</v>
      </c>
      <c r="C8" t="s">
        <v>11</v>
      </c>
      <c r="D8" t="s">
        <v>12</v>
      </c>
      <c r="E8" t="s">
        <v>13</v>
      </c>
      <c r="F8">
        <v>18</v>
      </c>
      <c r="G8">
        <v>6.88</v>
      </c>
      <c r="H8">
        <v>123.84</v>
      </c>
    </row>
    <row r="9" spans="2:8" x14ac:dyDescent="0.3">
      <c r="B9" s="1">
        <v>45382</v>
      </c>
      <c r="C9" t="s">
        <v>14</v>
      </c>
      <c r="D9" t="s">
        <v>15</v>
      </c>
      <c r="E9" t="s">
        <v>16</v>
      </c>
      <c r="F9">
        <v>18</v>
      </c>
      <c r="G9">
        <v>92.09</v>
      </c>
      <c r="H9">
        <v>1657.62</v>
      </c>
    </row>
    <row r="10" spans="2:8" x14ac:dyDescent="0.3">
      <c r="B10" s="1">
        <v>45648</v>
      </c>
      <c r="C10" t="s">
        <v>17</v>
      </c>
      <c r="D10" t="s">
        <v>18</v>
      </c>
      <c r="E10" t="s">
        <v>2</v>
      </c>
      <c r="F10">
        <v>6</v>
      </c>
      <c r="G10">
        <v>41.03</v>
      </c>
      <c r="H10">
        <v>246.18</v>
      </c>
    </row>
    <row r="11" spans="2:8" x14ac:dyDescent="0.3">
      <c r="B11" s="1">
        <v>45526</v>
      </c>
      <c r="C11" t="s">
        <v>19</v>
      </c>
      <c r="D11" t="s">
        <v>20</v>
      </c>
      <c r="E11" t="s">
        <v>16</v>
      </c>
      <c r="F11">
        <v>19</v>
      </c>
      <c r="G11">
        <v>27.66</v>
      </c>
      <c r="H11">
        <v>525.54</v>
      </c>
    </row>
    <row r="12" spans="2:8" x14ac:dyDescent="0.3">
      <c r="B12" s="1">
        <v>45551</v>
      </c>
      <c r="C12" t="s">
        <v>21</v>
      </c>
      <c r="D12" t="s">
        <v>12</v>
      </c>
      <c r="E12" t="s">
        <v>16</v>
      </c>
      <c r="F12">
        <v>16</v>
      </c>
      <c r="G12">
        <v>80.42</v>
      </c>
      <c r="H12">
        <v>1286.72</v>
      </c>
    </row>
    <row r="13" spans="2:8" x14ac:dyDescent="0.3">
      <c r="B13" s="1">
        <v>45332</v>
      </c>
      <c r="C13" t="s">
        <v>22</v>
      </c>
      <c r="D13" t="s">
        <v>23</v>
      </c>
      <c r="E13" t="s">
        <v>7</v>
      </c>
      <c r="F13">
        <v>15</v>
      </c>
      <c r="G13">
        <v>74.64</v>
      </c>
      <c r="H13">
        <v>1119.5999999999999</v>
      </c>
    </row>
    <row r="14" spans="2:8" x14ac:dyDescent="0.3">
      <c r="B14" s="1">
        <v>45375</v>
      </c>
      <c r="C14" t="s">
        <v>24</v>
      </c>
      <c r="D14" t="s">
        <v>25</v>
      </c>
      <c r="E14" t="s">
        <v>7</v>
      </c>
      <c r="F14">
        <v>14</v>
      </c>
      <c r="G14">
        <v>51.07</v>
      </c>
      <c r="H14">
        <v>714.98</v>
      </c>
    </row>
    <row r="15" spans="2:8" x14ac:dyDescent="0.3">
      <c r="B15" s="1">
        <v>45437</v>
      </c>
      <c r="C15" t="s">
        <v>26</v>
      </c>
      <c r="D15" t="s">
        <v>27</v>
      </c>
      <c r="E15" t="s">
        <v>10</v>
      </c>
      <c r="F15">
        <v>3</v>
      </c>
      <c r="G15">
        <v>57.34</v>
      </c>
      <c r="H15">
        <v>172.02</v>
      </c>
    </row>
    <row r="16" spans="2:8" x14ac:dyDescent="0.3">
      <c r="B16" s="1">
        <v>45495</v>
      </c>
      <c r="C16" t="s">
        <v>28</v>
      </c>
      <c r="D16" t="s">
        <v>29</v>
      </c>
      <c r="E16" t="s">
        <v>2</v>
      </c>
      <c r="F16">
        <v>19</v>
      </c>
      <c r="G16">
        <v>37.049999999999997</v>
      </c>
      <c r="H16">
        <v>703.95</v>
      </c>
    </row>
    <row r="17" spans="2:8" x14ac:dyDescent="0.3">
      <c r="B17" s="1">
        <v>45665</v>
      </c>
      <c r="C17" t="s">
        <v>30</v>
      </c>
      <c r="D17" t="s">
        <v>31</v>
      </c>
      <c r="E17" t="s">
        <v>2</v>
      </c>
      <c r="F17">
        <v>17</v>
      </c>
      <c r="G17">
        <v>46.07</v>
      </c>
      <c r="H17">
        <v>783.19</v>
      </c>
    </row>
    <row r="18" spans="2:8" x14ac:dyDescent="0.3">
      <c r="B18" s="1">
        <v>45674</v>
      </c>
      <c r="C18" t="s">
        <v>32</v>
      </c>
      <c r="D18" t="s">
        <v>33</v>
      </c>
      <c r="E18" t="s">
        <v>2</v>
      </c>
      <c r="F18">
        <v>2</v>
      </c>
      <c r="G18">
        <v>92.64</v>
      </c>
      <c r="H18">
        <v>185.28</v>
      </c>
    </row>
    <row r="19" spans="2:8" x14ac:dyDescent="0.3">
      <c r="B19" s="1">
        <v>45442</v>
      </c>
      <c r="C19" t="s">
        <v>34</v>
      </c>
      <c r="D19" t="s">
        <v>35</v>
      </c>
      <c r="E19" t="s">
        <v>7</v>
      </c>
      <c r="F19">
        <v>17</v>
      </c>
      <c r="G19">
        <v>33.909999999999997</v>
      </c>
      <c r="H19">
        <v>576.47</v>
      </c>
    </row>
    <row r="20" spans="2:8" x14ac:dyDescent="0.3">
      <c r="B20" s="1">
        <v>45519</v>
      </c>
      <c r="C20" t="s">
        <v>36</v>
      </c>
      <c r="D20" t="s">
        <v>37</v>
      </c>
      <c r="E20" t="s">
        <v>2</v>
      </c>
      <c r="F20">
        <v>18</v>
      </c>
      <c r="G20">
        <v>97.14</v>
      </c>
      <c r="H20">
        <v>1748.52</v>
      </c>
    </row>
    <row r="21" spans="2:8" x14ac:dyDescent="0.3">
      <c r="B21" s="1">
        <v>45646</v>
      </c>
      <c r="C21" t="s">
        <v>38</v>
      </c>
      <c r="D21" t="s">
        <v>39</v>
      </c>
      <c r="E21" t="s">
        <v>10</v>
      </c>
      <c r="F21">
        <v>5</v>
      </c>
      <c r="G21">
        <v>50.26</v>
      </c>
      <c r="H21">
        <v>251.3</v>
      </c>
    </row>
    <row r="22" spans="2:8" x14ac:dyDescent="0.3">
      <c r="B22" s="1">
        <v>45385</v>
      </c>
      <c r="C22" t="s">
        <v>40</v>
      </c>
      <c r="D22" t="s">
        <v>41</v>
      </c>
      <c r="E22" t="s">
        <v>2</v>
      </c>
      <c r="F22">
        <v>1</v>
      </c>
      <c r="G22">
        <v>34.04</v>
      </c>
      <c r="H22">
        <v>34.04</v>
      </c>
    </row>
    <row r="23" spans="2:8" x14ac:dyDescent="0.3">
      <c r="B23" s="1">
        <v>45643</v>
      </c>
      <c r="C23" t="s">
        <v>42</v>
      </c>
      <c r="D23" t="s">
        <v>43</v>
      </c>
      <c r="E23" t="s">
        <v>2</v>
      </c>
      <c r="F23">
        <v>19</v>
      </c>
      <c r="G23">
        <v>98.73</v>
      </c>
      <c r="H23">
        <v>1875.87</v>
      </c>
    </row>
    <row r="24" spans="2:8" x14ac:dyDescent="0.3">
      <c r="B24" s="1">
        <v>45655</v>
      </c>
      <c r="C24" t="s">
        <v>44</v>
      </c>
      <c r="D24" t="s">
        <v>45</v>
      </c>
      <c r="E24" t="s">
        <v>13</v>
      </c>
      <c r="F24">
        <v>5</v>
      </c>
      <c r="G24">
        <v>88.68</v>
      </c>
      <c r="H24">
        <v>443.4</v>
      </c>
    </row>
    <row r="25" spans="2:8" x14ac:dyDescent="0.3">
      <c r="B25" s="1">
        <v>45550</v>
      </c>
      <c r="C25" t="s">
        <v>46</v>
      </c>
      <c r="D25" t="s">
        <v>47</v>
      </c>
      <c r="E25" t="s">
        <v>7</v>
      </c>
      <c r="F25">
        <v>13</v>
      </c>
      <c r="G25">
        <v>61.45</v>
      </c>
      <c r="H25">
        <v>798.85</v>
      </c>
    </row>
    <row r="26" spans="2:8" x14ac:dyDescent="0.3">
      <c r="B26" s="1">
        <v>45492</v>
      </c>
      <c r="C26" t="s">
        <v>48</v>
      </c>
      <c r="D26" t="s">
        <v>15</v>
      </c>
      <c r="E26" t="s">
        <v>16</v>
      </c>
      <c r="F26">
        <v>10</v>
      </c>
      <c r="G26">
        <v>29.79</v>
      </c>
      <c r="H26">
        <v>297.89999999999998</v>
      </c>
    </row>
    <row r="27" spans="2:8" x14ac:dyDescent="0.3">
      <c r="B27" s="1">
        <v>45420</v>
      </c>
      <c r="C27" t="s">
        <v>49</v>
      </c>
      <c r="D27" t="s">
        <v>50</v>
      </c>
      <c r="E27" t="s">
        <v>16</v>
      </c>
      <c r="F27">
        <v>9</v>
      </c>
      <c r="G27">
        <v>37.67</v>
      </c>
      <c r="H27">
        <v>339.03</v>
      </c>
    </row>
    <row r="28" spans="2:8" x14ac:dyDescent="0.3">
      <c r="B28" s="1">
        <v>45334</v>
      </c>
      <c r="C28" t="s">
        <v>51</v>
      </c>
      <c r="D28" t="s">
        <v>52</v>
      </c>
      <c r="E28" t="s">
        <v>16</v>
      </c>
      <c r="F28">
        <v>2</v>
      </c>
      <c r="G28">
        <v>93.13</v>
      </c>
      <c r="H28">
        <v>186.26</v>
      </c>
    </row>
    <row r="29" spans="2:8" x14ac:dyDescent="0.3">
      <c r="B29" s="1">
        <v>45369</v>
      </c>
      <c r="C29" t="s">
        <v>53</v>
      </c>
      <c r="D29" t="s">
        <v>54</v>
      </c>
      <c r="E29" t="s">
        <v>13</v>
      </c>
      <c r="F29">
        <v>12</v>
      </c>
      <c r="G29">
        <v>45.2</v>
      </c>
      <c r="H29">
        <v>542.4</v>
      </c>
    </row>
    <row r="30" spans="2:8" x14ac:dyDescent="0.3">
      <c r="B30" s="1">
        <v>45311</v>
      </c>
      <c r="C30" t="s">
        <v>55</v>
      </c>
      <c r="D30" t="s">
        <v>56</v>
      </c>
      <c r="E30" t="s">
        <v>16</v>
      </c>
      <c r="F30">
        <v>4</v>
      </c>
      <c r="G30">
        <v>25.5</v>
      </c>
      <c r="H30">
        <v>102</v>
      </c>
    </row>
    <row r="31" spans="2:8" x14ac:dyDescent="0.3">
      <c r="B31" s="1">
        <v>45469</v>
      </c>
      <c r="C31" t="s">
        <v>57</v>
      </c>
      <c r="D31" t="s">
        <v>58</v>
      </c>
      <c r="E31" t="s">
        <v>16</v>
      </c>
      <c r="F31">
        <v>1</v>
      </c>
      <c r="G31">
        <v>31.23</v>
      </c>
      <c r="H31">
        <v>31.23</v>
      </c>
    </row>
    <row r="32" spans="2:8" x14ac:dyDescent="0.3">
      <c r="B32" s="1">
        <v>45416</v>
      </c>
      <c r="C32" t="s">
        <v>59</v>
      </c>
      <c r="D32" t="s">
        <v>60</v>
      </c>
      <c r="E32" t="s">
        <v>2</v>
      </c>
      <c r="F32">
        <v>8</v>
      </c>
      <c r="G32">
        <v>86.62</v>
      </c>
      <c r="H32">
        <v>692.96</v>
      </c>
    </row>
    <row r="33" spans="2:8" x14ac:dyDescent="0.3">
      <c r="B33" s="1">
        <v>45363</v>
      </c>
      <c r="C33" t="s">
        <v>61</v>
      </c>
      <c r="D33" t="s">
        <v>4</v>
      </c>
      <c r="E33" t="s">
        <v>2</v>
      </c>
      <c r="F33">
        <v>12</v>
      </c>
      <c r="G33">
        <v>50.33</v>
      </c>
      <c r="H33">
        <v>603.96</v>
      </c>
    </row>
    <row r="34" spans="2:8" x14ac:dyDescent="0.3">
      <c r="B34" s="1">
        <v>45495</v>
      </c>
      <c r="C34" t="s">
        <v>62</v>
      </c>
      <c r="D34" t="s">
        <v>63</v>
      </c>
      <c r="E34" t="s">
        <v>7</v>
      </c>
      <c r="F34">
        <v>3</v>
      </c>
      <c r="G34">
        <v>24.84</v>
      </c>
      <c r="H34">
        <v>74.52</v>
      </c>
    </row>
    <row r="35" spans="2:8" x14ac:dyDescent="0.3">
      <c r="B35" s="1">
        <v>45652</v>
      </c>
      <c r="C35" t="s">
        <v>64</v>
      </c>
      <c r="D35" t="s">
        <v>65</v>
      </c>
      <c r="E35" t="s">
        <v>13</v>
      </c>
      <c r="F35">
        <v>18</v>
      </c>
      <c r="G35">
        <v>86.89</v>
      </c>
      <c r="H35">
        <v>1564.02</v>
      </c>
    </row>
    <row r="36" spans="2:8" x14ac:dyDescent="0.3">
      <c r="B36" s="1">
        <v>45588</v>
      </c>
      <c r="C36" t="s">
        <v>66</v>
      </c>
      <c r="D36" t="s">
        <v>67</v>
      </c>
      <c r="E36" t="s">
        <v>16</v>
      </c>
      <c r="F36">
        <v>3</v>
      </c>
      <c r="G36">
        <v>98.16</v>
      </c>
      <c r="H36">
        <v>294.48</v>
      </c>
    </row>
    <row r="37" spans="2:8" x14ac:dyDescent="0.3">
      <c r="B37" s="1">
        <v>45343</v>
      </c>
      <c r="C37" t="s">
        <v>68</v>
      </c>
      <c r="D37" t="s">
        <v>23</v>
      </c>
      <c r="E37" t="s">
        <v>7</v>
      </c>
      <c r="F37">
        <v>20</v>
      </c>
      <c r="G37">
        <v>28.56</v>
      </c>
      <c r="H37">
        <v>571.20000000000005</v>
      </c>
    </row>
    <row r="38" spans="2:8" x14ac:dyDescent="0.3">
      <c r="B38" s="1">
        <v>45618</v>
      </c>
      <c r="C38" t="s">
        <v>69</v>
      </c>
      <c r="D38" t="s">
        <v>70</v>
      </c>
      <c r="E38" t="s">
        <v>7</v>
      </c>
      <c r="F38">
        <v>10</v>
      </c>
      <c r="G38">
        <v>93.82</v>
      </c>
      <c r="H38">
        <v>938.2</v>
      </c>
    </row>
    <row r="39" spans="2:8" x14ac:dyDescent="0.3">
      <c r="B39" s="1">
        <v>45652</v>
      </c>
      <c r="C39" t="s">
        <v>71</v>
      </c>
      <c r="D39" t="s">
        <v>35</v>
      </c>
      <c r="E39" t="s">
        <v>7</v>
      </c>
      <c r="F39">
        <v>20</v>
      </c>
      <c r="G39">
        <v>87.21</v>
      </c>
      <c r="H39">
        <v>1744.2</v>
      </c>
    </row>
    <row r="40" spans="2:8" x14ac:dyDescent="0.3">
      <c r="B40" s="1">
        <v>45648</v>
      </c>
      <c r="C40" t="s">
        <v>72</v>
      </c>
      <c r="D40" t="s">
        <v>73</v>
      </c>
      <c r="E40" t="s">
        <v>13</v>
      </c>
      <c r="F40">
        <v>12</v>
      </c>
      <c r="G40">
        <v>68</v>
      </c>
      <c r="H40">
        <v>816</v>
      </c>
    </row>
    <row r="41" spans="2:8" x14ac:dyDescent="0.3">
      <c r="B41" s="1">
        <v>45350</v>
      </c>
      <c r="C41" t="s">
        <v>74</v>
      </c>
      <c r="D41" t="s">
        <v>75</v>
      </c>
      <c r="E41" t="s">
        <v>13</v>
      </c>
      <c r="F41">
        <v>13</v>
      </c>
      <c r="G41">
        <v>79</v>
      </c>
      <c r="H41">
        <v>1027</v>
      </c>
    </row>
    <row r="42" spans="2:8" x14ac:dyDescent="0.3">
      <c r="B42" s="1">
        <v>45472</v>
      </c>
      <c r="C42" t="s">
        <v>76</v>
      </c>
      <c r="D42" t="s">
        <v>67</v>
      </c>
      <c r="E42" t="s">
        <v>10</v>
      </c>
      <c r="F42">
        <v>2</v>
      </c>
      <c r="G42">
        <v>18.47</v>
      </c>
      <c r="H42">
        <v>36.94</v>
      </c>
    </row>
    <row r="43" spans="2:8" x14ac:dyDescent="0.3">
      <c r="B43" s="1">
        <v>45389</v>
      </c>
      <c r="C43" t="s">
        <v>77</v>
      </c>
      <c r="D43" t="s">
        <v>78</v>
      </c>
      <c r="E43" t="s">
        <v>2</v>
      </c>
      <c r="F43">
        <v>1</v>
      </c>
      <c r="G43">
        <v>33.979999999999997</v>
      </c>
      <c r="H43">
        <v>33.979999999999997</v>
      </c>
    </row>
    <row r="44" spans="2:8" x14ac:dyDescent="0.3">
      <c r="B44" s="1">
        <v>45385</v>
      </c>
      <c r="C44" t="s">
        <v>79</v>
      </c>
      <c r="D44" t="s">
        <v>80</v>
      </c>
      <c r="E44" t="s">
        <v>13</v>
      </c>
      <c r="F44">
        <v>17</v>
      </c>
      <c r="G44">
        <v>21.14</v>
      </c>
      <c r="H44">
        <v>359.38</v>
      </c>
    </row>
    <row r="45" spans="2:8" x14ac:dyDescent="0.3">
      <c r="B45" s="1">
        <v>45532</v>
      </c>
      <c r="C45" t="s">
        <v>81</v>
      </c>
      <c r="D45" t="s">
        <v>23</v>
      </c>
      <c r="E45" t="s">
        <v>10</v>
      </c>
      <c r="F45">
        <v>14</v>
      </c>
      <c r="G45">
        <v>89.39</v>
      </c>
      <c r="H45">
        <v>1251.46</v>
      </c>
    </row>
    <row r="46" spans="2:8" x14ac:dyDescent="0.3">
      <c r="B46" s="1">
        <v>45392</v>
      </c>
      <c r="C46" t="s">
        <v>82</v>
      </c>
      <c r="D46" t="s">
        <v>47</v>
      </c>
      <c r="E46" t="s">
        <v>13</v>
      </c>
      <c r="F46">
        <v>11</v>
      </c>
      <c r="G46">
        <v>60.61</v>
      </c>
      <c r="H46">
        <v>666.71</v>
      </c>
    </row>
    <row r="47" spans="2:8" x14ac:dyDescent="0.3">
      <c r="B47" s="1">
        <v>45574</v>
      </c>
      <c r="C47" t="s">
        <v>83</v>
      </c>
      <c r="D47" t="s">
        <v>84</v>
      </c>
      <c r="E47" t="s">
        <v>13</v>
      </c>
      <c r="F47">
        <v>2</v>
      </c>
      <c r="G47">
        <v>18.510000000000002</v>
      </c>
      <c r="H47">
        <v>37.020000000000003</v>
      </c>
    </row>
    <row r="48" spans="2:8" x14ac:dyDescent="0.3">
      <c r="B48" s="1">
        <v>45547</v>
      </c>
      <c r="C48" t="s">
        <v>85</v>
      </c>
      <c r="D48" t="s">
        <v>86</v>
      </c>
      <c r="E48" t="s">
        <v>7</v>
      </c>
      <c r="F48">
        <v>17</v>
      </c>
      <c r="G48">
        <v>41.06</v>
      </c>
      <c r="H48">
        <v>698.02</v>
      </c>
    </row>
    <row r="49" spans="2:8" x14ac:dyDescent="0.3">
      <c r="B49" s="1">
        <v>45511</v>
      </c>
      <c r="C49" t="s">
        <v>87</v>
      </c>
      <c r="D49" t="s">
        <v>88</v>
      </c>
      <c r="E49" t="s">
        <v>2</v>
      </c>
      <c r="F49">
        <v>14</v>
      </c>
      <c r="G49">
        <v>36.99</v>
      </c>
      <c r="H49">
        <v>517.86</v>
      </c>
    </row>
    <row r="50" spans="2:8" x14ac:dyDescent="0.3">
      <c r="B50" s="1">
        <v>45668</v>
      </c>
      <c r="C50" t="s">
        <v>89</v>
      </c>
      <c r="D50" t="s">
        <v>90</v>
      </c>
      <c r="E50" t="s">
        <v>7</v>
      </c>
      <c r="F50">
        <v>8</v>
      </c>
      <c r="G50">
        <v>33.659999999999997</v>
      </c>
      <c r="H50">
        <v>269.27999999999997</v>
      </c>
    </row>
    <row r="51" spans="2:8" x14ac:dyDescent="0.3">
      <c r="B51" s="1">
        <v>45644</v>
      </c>
      <c r="C51" t="s">
        <v>91</v>
      </c>
      <c r="D51" t="s">
        <v>92</v>
      </c>
      <c r="E51" t="s">
        <v>16</v>
      </c>
      <c r="F51">
        <v>18</v>
      </c>
      <c r="G51">
        <v>8.0500000000000007</v>
      </c>
      <c r="H51">
        <v>144.9</v>
      </c>
    </row>
    <row r="52" spans="2:8" x14ac:dyDescent="0.3">
      <c r="B52" s="1">
        <v>45555</v>
      </c>
      <c r="C52" t="s">
        <v>93</v>
      </c>
      <c r="D52" t="s">
        <v>94</v>
      </c>
      <c r="E52" t="s">
        <v>2</v>
      </c>
      <c r="F52">
        <v>7</v>
      </c>
      <c r="G52">
        <v>39.68</v>
      </c>
      <c r="H52">
        <v>277.76</v>
      </c>
    </row>
    <row r="53" spans="2:8" x14ac:dyDescent="0.3">
      <c r="B53" s="1">
        <v>45636</v>
      </c>
      <c r="C53" t="s">
        <v>95</v>
      </c>
      <c r="D53" t="s">
        <v>96</v>
      </c>
      <c r="E53" t="s">
        <v>16</v>
      </c>
      <c r="F53">
        <v>19</v>
      </c>
      <c r="G53">
        <v>45.46</v>
      </c>
      <c r="H53">
        <v>863.74</v>
      </c>
    </row>
    <row r="54" spans="2:8" x14ac:dyDescent="0.3">
      <c r="B54" s="1">
        <v>45625</v>
      </c>
      <c r="C54" t="s">
        <v>97</v>
      </c>
      <c r="D54" t="s">
        <v>94</v>
      </c>
      <c r="E54" t="s">
        <v>2</v>
      </c>
      <c r="F54">
        <v>3</v>
      </c>
      <c r="G54">
        <v>21.42</v>
      </c>
      <c r="H54">
        <v>64.260000000000005</v>
      </c>
    </row>
    <row r="55" spans="2:8" x14ac:dyDescent="0.3">
      <c r="B55" s="1">
        <v>45410</v>
      </c>
      <c r="C55" t="s">
        <v>98</v>
      </c>
      <c r="D55" t="s">
        <v>99</v>
      </c>
      <c r="E55" t="s">
        <v>10</v>
      </c>
      <c r="F55">
        <v>7</v>
      </c>
      <c r="G55">
        <v>30.65</v>
      </c>
      <c r="H55">
        <v>214.55</v>
      </c>
    </row>
    <row r="56" spans="2:8" x14ac:dyDescent="0.3">
      <c r="B56" s="1">
        <v>45579</v>
      </c>
      <c r="C56" t="s">
        <v>100</v>
      </c>
      <c r="D56" t="s">
        <v>101</v>
      </c>
      <c r="E56" t="s">
        <v>2</v>
      </c>
      <c r="F56">
        <v>17</v>
      </c>
      <c r="G56">
        <v>35.93</v>
      </c>
      <c r="H56">
        <v>610.80999999999995</v>
      </c>
    </row>
    <row r="57" spans="2:8" x14ac:dyDescent="0.3">
      <c r="B57" s="1">
        <v>45671</v>
      </c>
      <c r="C57" t="s">
        <v>102</v>
      </c>
      <c r="D57" t="s">
        <v>103</v>
      </c>
      <c r="E57" t="s">
        <v>16</v>
      </c>
      <c r="F57">
        <v>20</v>
      </c>
      <c r="G57">
        <v>56.52</v>
      </c>
      <c r="H57">
        <v>1130.4000000000001</v>
      </c>
    </row>
    <row r="58" spans="2:8" x14ac:dyDescent="0.3">
      <c r="B58" s="1">
        <v>45553</v>
      </c>
      <c r="C58" t="s">
        <v>104</v>
      </c>
      <c r="D58" t="s">
        <v>105</v>
      </c>
      <c r="E58" t="s">
        <v>10</v>
      </c>
      <c r="F58">
        <v>11</v>
      </c>
      <c r="G58">
        <v>97.6</v>
      </c>
      <c r="H58">
        <v>1073.5999999999999</v>
      </c>
    </row>
    <row r="59" spans="2:8" x14ac:dyDescent="0.3">
      <c r="B59" s="1">
        <v>45493</v>
      </c>
      <c r="C59" t="s">
        <v>106</v>
      </c>
      <c r="D59" t="s">
        <v>107</v>
      </c>
      <c r="E59" t="s">
        <v>10</v>
      </c>
      <c r="F59">
        <v>14</v>
      </c>
      <c r="G59">
        <v>12.51</v>
      </c>
      <c r="H59">
        <v>175.14</v>
      </c>
    </row>
    <row r="60" spans="2:8" x14ac:dyDescent="0.3">
      <c r="B60" s="1">
        <v>45545</v>
      </c>
      <c r="C60" t="s">
        <v>108</v>
      </c>
      <c r="D60" t="s">
        <v>109</v>
      </c>
      <c r="E60" t="s">
        <v>2</v>
      </c>
      <c r="F60">
        <v>20</v>
      </c>
      <c r="G60">
        <v>85.76</v>
      </c>
      <c r="H60">
        <v>1715.2</v>
      </c>
    </row>
    <row r="61" spans="2:8" x14ac:dyDescent="0.3">
      <c r="B61" s="1">
        <v>45653</v>
      </c>
      <c r="C61" t="s">
        <v>110</v>
      </c>
      <c r="D61" t="s">
        <v>23</v>
      </c>
      <c r="E61" t="s">
        <v>16</v>
      </c>
      <c r="F61">
        <v>2</v>
      </c>
      <c r="G61">
        <v>50.33</v>
      </c>
      <c r="H61">
        <v>100.66</v>
      </c>
    </row>
    <row r="62" spans="2:8" x14ac:dyDescent="0.3">
      <c r="B62" s="1">
        <v>45618</v>
      </c>
      <c r="C62" t="s">
        <v>111</v>
      </c>
      <c r="D62" t="s">
        <v>37</v>
      </c>
      <c r="E62" t="s">
        <v>10</v>
      </c>
      <c r="F62">
        <v>15</v>
      </c>
      <c r="G62">
        <v>75.12</v>
      </c>
      <c r="H62">
        <v>1126.8</v>
      </c>
    </row>
    <row r="63" spans="2:8" x14ac:dyDescent="0.3">
      <c r="B63" s="1">
        <v>45403</v>
      </c>
      <c r="C63" t="s">
        <v>112</v>
      </c>
      <c r="D63" t="s">
        <v>113</v>
      </c>
      <c r="E63" t="s">
        <v>16</v>
      </c>
      <c r="F63">
        <v>12</v>
      </c>
      <c r="G63">
        <v>15.46</v>
      </c>
      <c r="H63">
        <v>185.52</v>
      </c>
    </row>
    <row r="64" spans="2:8" x14ac:dyDescent="0.3">
      <c r="B64" s="1">
        <v>45657</v>
      </c>
      <c r="C64" t="s">
        <v>114</v>
      </c>
      <c r="D64" t="s">
        <v>115</v>
      </c>
      <c r="E64" t="s">
        <v>10</v>
      </c>
      <c r="F64">
        <v>1</v>
      </c>
      <c r="G64">
        <v>82.77</v>
      </c>
      <c r="H64">
        <v>82.77</v>
      </c>
    </row>
    <row r="65" spans="2:8" x14ac:dyDescent="0.3">
      <c r="B65" s="1">
        <v>45403</v>
      </c>
      <c r="C65" t="s">
        <v>116</v>
      </c>
      <c r="D65" t="s">
        <v>39</v>
      </c>
      <c r="E65" t="s">
        <v>13</v>
      </c>
      <c r="F65">
        <v>8</v>
      </c>
      <c r="G65">
        <v>89.51</v>
      </c>
      <c r="H65">
        <v>716.08</v>
      </c>
    </row>
    <row r="66" spans="2:8" x14ac:dyDescent="0.3">
      <c r="B66" s="1">
        <v>45575</v>
      </c>
      <c r="C66" t="s">
        <v>59</v>
      </c>
      <c r="D66" t="s">
        <v>31</v>
      </c>
      <c r="E66" t="s">
        <v>10</v>
      </c>
      <c r="F66">
        <v>9</v>
      </c>
      <c r="G66">
        <v>98.19</v>
      </c>
      <c r="H66">
        <v>883.71</v>
      </c>
    </row>
    <row r="67" spans="2:8" x14ac:dyDescent="0.3">
      <c r="B67" s="1">
        <v>45473</v>
      </c>
      <c r="C67" t="s">
        <v>117</v>
      </c>
      <c r="D67" t="s">
        <v>15</v>
      </c>
      <c r="E67" t="s">
        <v>7</v>
      </c>
      <c r="F67">
        <v>14</v>
      </c>
      <c r="G67">
        <v>97.89</v>
      </c>
      <c r="H67">
        <v>1370.46</v>
      </c>
    </row>
    <row r="68" spans="2:8" x14ac:dyDescent="0.3">
      <c r="B68" s="1">
        <v>45638</v>
      </c>
      <c r="C68" t="s">
        <v>118</v>
      </c>
      <c r="D68" t="s">
        <v>73</v>
      </c>
      <c r="E68" t="s">
        <v>10</v>
      </c>
      <c r="F68">
        <v>8</v>
      </c>
      <c r="G68">
        <v>77.37</v>
      </c>
      <c r="H68">
        <v>618.96</v>
      </c>
    </row>
    <row r="69" spans="2:8" x14ac:dyDescent="0.3">
      <c r="B69" s="1">
        <v>45610</v>
      </c>
      <c r="C69" t="s">
        <v>119</v>
      </c>
      <c r="D69" t="s">
        <v>80</v>
      </c>
      <c r="E69" t="s">
        <v>2</v>
      </c>
      <c r="F69">
        <v>12</v>
      </c>
      <c r="G69">
        <v>81.36</v>
      </c>
      <c r="H69">
        <v>976.32</v>
      </c>
    </row>
    <row r="70" spans="2:8" x14ac:dyDescent="0.3">
      <c r="B70" s="1">
        <v>45381</v>
      </c>
      <c r="C70" t="s">
        <v>120</v>
      </c>
      <c r="D70" t="s">
        <v>121</v>
      </c>
      <c r="E70" t="s">
        <v>2</v>
      </c>
      <c r="F70">
        <v>12</v>
      </c>
      <c r="G70">
        <v>7.25</v>
      </c>
      <c r="H70">
        <v>87</v>
      </c>
    </row>
    <row r="71" spans="2:8" x14ac:dyDescent="0.3">
      <c r="B71" s="1">
        <v>45367</v>
      </c>
      <c r="C71" t="s">
        <v>122</v>
      </c>
      <c r="D71" t="s">
        <v>58</v>
      </c>
      <c r="E71" t="s">
        <v>10</v>
      </c>
      <c r="F71">
        <v>17</v>
      </c>
      <c r="G71">
        <v>90.47</v>
      </c>
      <c r="H71">
        <v>1537.99</v>
      </c>
    </row>
    <row r="72" spans="2:8" x14ac:dyDescent="0.3">
      <c r="B72" s="1">
        <v>45545</v>
      </c>
      <c r="C72" t="s">
        <v>123</v>
      </c>
      <c r="D72" t="s">
        <v>124</v>
      </c>
      <c r="E72" t="s">
        <v>10</v>
      </c>
      <c r="F72">
        <v>12</v>
      </c>
      <c r="G72">
        <v>7.1</v>
      </c>
      <c r="H72">
        <v>85.2</v>
      </c>
    </row>
    <row r="73" spans="2:8" x14ac:dyDescent="0.3">
      <c r="B73" s="1">
        <v>45338</v>
      </c>
      <c r="C73" t="s">
        <v>125</v>
      </c>
      <c r="D73" t="s">
        <v>126</v>
      </c>
      <c r="E73" t="s">
        <v>2</v>
      </c>
      <c r="F73">
        <v>12</v>
      </c>
      <c r="G73">
        <v>19.29</v>
      </c>
      <c r="H73">
        <v>231.48</v>
      </c>
    </row>
    <row r="74" spans="2:8" x14ac:dyDescent="0.3">
      <c r="B74" s="1">
        <v>45438</v>
      </c>
      <c r="C74" t="s">
        <v>127</v>
      </c>
      <c r="D74" t="s">
        <v>63</v>
      </c>
      <c r="E74" t="s">
        <v>16</v>
      </c>
      <c r="F74">
        <v>14</v>
      </c>
      <c r="G74">
        <v>98.02</v>
      </c>
      <c r="H74">
        <v>1372.28</v>
      </c>
    </row>
    <row r="75" spans="2:8" x14ac:dyDescent="0.3">
      <c r="B75" s="1">
        <v>45534</v>
      </c>
      <c r="C75" t="s">
        <v>128</v>
      </c>
      <c r="D75" t="s">
        <v>129</v>
      </c>
      <c r="E75" t="s">
        <v>7</v>
      </c>
      <c r="F75">
        <v>7</v>
      </c>
      <c r="G75">
        <v>28.28</v>
      </c>
      <c r="H75">
        <v>197.96</v>
      </c>
    </row>
    <row r="76" spans="2:8" x14ac:dyDescent="0.3">
      <c r="B76" s="1">
        <v>45623</v>
      </c>
      <c r="C76" t="s">
        <v>130</v>
      </c>
      <c r="D76" t="s">
        <v>131</v>
      </c>
      <c r="E76" t="s">
        <v>7</v>
      </c>
      <c r="F76">
        <v>9</v>
      </c>
      <c r="G76">
        <v>74.78</v>
      </c>
      <c r="H76">
        <v>673.02</v>
      </c>
    </row>
    <row r="77" spans="2:8" x14ac:dyDescent="0.3">
      <c r="B77" s="1">
        <v>45634</v>
      </c>
      <c r="C77" t="s">
        <v>132</v>
      </c>
      <c r="D77" t="s">
        <v>133</v>
      </c>
      <c r="E77" t="s">
        <v>13</v>
      </c>
      <c r="F77">
        <v>8</v>
      </c>
      <c r="G77">
        <v>6.4</v>
      </c>
      <c r="H77">
        <v>51.2</v>
      </c>
    </row>
    <row r="78" spans="2:8" x14ac:dyDescent="0.3">
      <c r="B78" s="1">
        <v>45439</v>
      </c>
      <c r="C78" t="s">
        <v>134</v>
      </c>
      <c r="D78" t="s">
        <v>135</v>
      </c>
      <c r="E78" t="s">
        <v>16</v>
      </c>
      <c r="F78">
        <v>12</v>
      </c>
      <c r="G78">
        <v>74.930000000000007</v>
      </c>
      <c r="H78">
        <v>899.16</v>
      </c>
    </row>
    <row r="79" spans="2:8" x14ac:dyDescent="0.3">
      <c r="B79" s="1">
        <v>45332</v>
      </c>
      <c r="C79" t="s">
        <v>136</v>
      </c>
      <c r="D79" t="s">
        <v>137</v>
      </c>
      <c r="E79" t="s">
        <v>10</v>
      </c>
      <c r="F79">
        <v>6</v>
      </c>
      <c r="G79">
        <v>30.03</v>
      </c>
      <c r="H79">
        <v>180.18</v>
      </c>
    </row>
    <row r="80" spans="2:8" x14ac:dyDescent="0.3">
      <c r="B80" s="1">
        <v>45338</v>
      </c>
      <c r="C80" t="s">
        <v>138</v>
      </c>
      <c r="D80" t="s">
        <v>75</v>
      </c>
      <c r="E80" t="s">
        <v>13</v>
      </c>
      <c r="F80">
        <v>16</v>
      </c>
      <c r="G80">
        <v>98.92</v>
      </c>
      <c r="H80">
        <v>1582.72</v>
      </c>
    </row>
    <row r="81" spans="2:8" x14ac:dyDescent="0.3">
      <c r="B81" s="1">
        <v>45555</v>
      </c>
      <c r="C81" t="s">
        <v>139</v>
      </c>
      <c r="D81" t="s">
        <v>140</v>
      </c>
      <c r="E81" t="s">
        <v>10</v>
      </c>
      <c r="F81">
        <v>2</v>
      </c>
      <c r="G81">
        <v>64.260000000000005</v>
      </c>
      <c r="H81">
        <v>128.52000000000001</v>
      </c>
    </row>
    <row r="82" spans="2:8" x14ac:dyDescent="0.3">
      <c r="B82" s="1">
        <v>45642</v>
      </c>
      <c r="C82" t="s">
        <v>141</v>
      </c>
      <c r="D82" t="s">
        <v>142</v>
      </c>
      <c r="E82" t="s">
        <v>13</v>
      </c>
      <c r="F82">
        <v>20</v>
      </c>
      <c r="G82">
        <v>69.290000000000006</v>
      </c>
      <c r="H82">
        <v>1385.8</v>
      </c>
    </row>
    <row r="83" spans="2:8" x14ac:dyDescent="0.3">
      <c r="B83" s="1">
        <v>45598</v>
      </c>
      <c r="C83" t="s">
        <v>143</v>
      </c>
      <c r="D83" t="s">
        <v>144</v>
      </c>
      <c r="E83" t="s">
        <v>10</v>
      </c>
      <c r="F83">
        <v>4</v>
      </c>
      <c r="G83">
        <v>9.39</v>
      </c>
      <c r="H83">
        <v>37.56</v>
      </c>
    </row>
    <row r="84" spans="2:8" x14ac:dyDescent="0.3">
      <c r="B84" s="1">
        <v>45575</v>
      </c>
      <c r="C84" t="s">
        <v>145</v>
      </c>
      <c r="D84" t="s">
        <v>115</v>
      </c>
      <c r="E84" t="s">
        <v>7</v>
      </c>
      <c r="F84">
        <v>11</v>
      </c>
      <c r="G84">
        <v>55.04</v>
      </c>
      <c r="H84">
        <v>605.44000000000005</v>
      </c>
    </row>
    <row r="85" spans="2:8" x14ac:dyDescent="0.3">
      <c r="B85" s="1">
        <v>45361</v>
      </c>
      <c r="C85" t="s">
        <v>146</v>
      </c>
      <c r="D85" t="s">
        <v>147</v>
      </c>
      <c r="E85" t="s">
        <v>7</v>
      </c>
      <c r="F85">
        <v>11</v>
      </c>
      <c r="G85">
        <v>56.78</v>
      </c>
      <c r="H85">
        <v>624.58000000000004</v>
      </c>
    </row>
    <row r="86" spans="2:8" x14ac:dyDescent="0.3">
      <c r="B86" s="1">
        <v>45402</v>
      </c>
      <c r="C86" t="s">
        <v>148</v>
      </c>
      <c r="D86" t="s">
        <v>149</v>
      </c>
      <c r="E86" t="s">
        <v>16</v>
      </c>
      <c r="F86">
        <v>2</v>
      </c>
      <c r="G86">
        <v>29.77</v>
      </c>
      <c r="H86">
        <v>59.54</v>
      </c>
    </row>
    <row r="87" spans="2:8" x14ac:dyDescent="0.3">
      <c r="B87" s="1">
        <v>45521</v>
      </c>
      <c r="C87" t="s">
        <v>150</v>
      </c>
      <c r="D87" t="s">
        <v>45</v>
      </c>
      <c r="E87" t="s">
        <v>2</v>
      </c>
      <c r="F87">
        <v>8</v>
      </c>
      <c r="G87">
        <v>29.45</v>
      </c>
      <c r="H87">
        <v>235.6</v>
      </c>
    </row>
    <row r="88" spans="2:8" x14ac:dyDescent="0.3">
      <c r="B88" s="1">
        <v>45419</v>
      </c>
      <c r="C88" t="s">
        <v>151</v>
      </c>
      <c r="D88" t="s">
        <v>20</v>
      </c>
      <c r="E88" t="s">
        <v>10</v>
      </c>
      <c r="F88">
        <v>7</v>
      </c>
      <c r="G88">
        <v>51.85</v>
      </c>
      <c r="H88">
        <v>362.95</v>
      </c>
    </row>
    <row r="89" spans="2:8" x14ac:dyDescent="0.3">
      <c r="B89" s="1">
        <v>45674</v>
      </c>
      <c r="C89" t="s">
        <v>152</v>
      </c>
      <c r="D89" t="s">
        <v>73</v>
      </c>
      <c r="E89" t="s">
        <v>16</v>
      </c>
      <c r="F89">
        <v>1</v>
      </c>
      <c r="G89">
        <v>70.09</v>
      </c>
      <c r="H89">
        <v>70.09</v>
      </c>
    </row>
    <row r="90" spans="2:8" x14ac:dyDescent="0.3">
      <c r="B90" s="1">
        <v>45390</v>
      </c>
      <c r="C90" t="s">
        <v>153</v>
      </c>
      <c r="D90" t="s">
        <v>154</v>
      </c>
      <c r="E90" t="s">
        <v>7</v>
      </c>
      <c r="F90">
        <v>6</v>
      </c>
      <c r="G90">
        <v>12.74</v>
      </c>
      <c r="H90">
        <v>76.44</v>
      </c>
    </row>
    <row r="91" spans="2:8" x14ac:dyDescent="0.3">
      <c r="B91" s="1">
        <v>45546</v>
      </c>
      <c r="C91" t="s">
        <v>155</v>
      </c>
      <c r="D91" t="s">
        <v>23</v>
      </c>
      <c r="E91" t="s">
        <v>10</v>
      </c>
      <c r="F91">
        <v>8</v>
      </c>
      <c r="G91">
        <v>84.59</v>
      </c>
      <c r="H91">
        <v>676.72</v>
      </c>
    </row>
    <row r="92" spans="2:8" x14ac:dyDescent="0.3">
      <c r="B92" s="1">
        <v>45588</v>
      </c>
      <c r="C92" t="s">
        <v>156</v>
      </c>
      <c r="D92" t="s">
        <v>137</v>
      </c>
      <c r="E92" t="s">
        <v>13</v>
      </c>
      <c r="F92">
        <v>14</v>
      </c>
      <c r="G92">
        <v>62.64</v>
      </c>
      <c r="H92">
        <v>876.96</v>
      </c>
    </row>
    <row r="93" spans="2:8" x14ac:dyDescent="0.3">
      <c r="B93" s="1">
        <v>45413</v>
      </c>
      <c r="C93" t="s">
        <v>157</v>
      </c>
      <c r="D93" t="s">
        <v>73</v>
      </c>
      <c r="E93" t="s">
        <v>13</v>
      </c>
      <c r="F93">
        <v>18</v>
      </c>
      <c r="G93">
        <v>61.77</v>
      </c>
      <c r="H93">
        <v>1111.8599999999999</v>
      </c>
    </row>
    <row r="94" spans="2:8" x14ac:dyDescent="0.3">
      <c r="B94" s="1">
        <v>45545</v>
      </c>
      <c r="C94" t="s">
        <v>158</v>
      </c>
      <c r="D94" t="s">
        <v>54</v>
      </c>
      <c r="E94" t="s">
        <v>7</v>
      </c>
      <c r="F94">
        <v>13</v>
      </c>
      <c r="G94">
        <v>47.12</v>
      </c>
      <c r="H94">
        <v>612.55999999999995</v>
      </c>
    </row>
    <row r="95" spans="2:8" x14ac:dyDescent="0.3">
      <c r="B95" s="1">
        <v>45468</v>
      </c>
      <c r="C95" t="s">
        <v>159</v>
      </c>
      <c r="D95" t="s">
        <v>113</v>
      </c>
      <c r="E95" t="s">
        <v>13</v>
      </c>
      <c r="F95">
        <v>2</v>
      </c>
      <c r="G95">
        <v>26.37</v>
      </c>
      <c r="H95">
        <v>52.74</v>
      </c>
    </row>
    <row r="96" spans="2:8" x14ac:dyDescent="0.3">
      <c r="B96" s="1">
        <v>45557</v>
      </c>
      <c r="C96" t="s">
        <v>160</v>
      </c>
      <c r="D96" t="s">
        <v>137</v>
      </c>
      <c r="E96" t="s">
        <v>16</v>
      </c>
      <c r="F96">
        <v>20</v>
      </c>
      <c r="G96">
        <v>91.05</v>
      </c>
      <c r="H96">
        <v>1821</v>
      </c>
    </row>
    <row r="97" spans="2:8" x14ac:dyDescent="0.3">
      <c r="B97" s="1">
        <v>45624</v>
      </c>
      <c r="C97" t="s">
        <v>161</v>
      </c>
      <c r="D97" t="s">
        <v>35</v>
      </c>
      <c r="E97" t="s">
        <v>7</v>
      </c>
      <c r="F97">
        <v>10</v>
      </c>
      <c r="G97">
        <v>25.95</v>
      </c>
      <c r="H97">
        <v>259.5</v>
      </c>
    </row>
    <row r="98" spans="2:8" x14ac:dyDescent="0.3">
      <c r="B98" s="1">
        <v>45515</v>
      </c>
      <c r="C98" t="s">
        <v>162</v>
      </c>
      <c r="D98" t="s">
        <v>140</v>
      </c>
      <c r="E98" t="s">
        <v>13</v>
      </c>
      <c r="F98">
        <v>11</v>
      </c>
      <c r="G98">
        <v>9.2899999999999991</v>
      </c>
      <c r="H98">
        <v>102.19</v>
      </c>
    </row>
    <row r="99" spans="2:8" x14ac:dyDescent="0.3">
      <c r="B99" s="1">
        <v>45412</v>
      </c>
      <c r="C99" t="s">
        <v>163</v>
      </c>
      <c r="D99" t="s">
        <v>113</v>
      </c>
      <c r="E99" t="s">
        <v>2</v>
      </c>
      <c r="F99">
        <v>4</v>
      </c>
      <c r="G99">
        <v>69.349999999999994</v>
      </c>
      <c r="H99">
        <v>277.39999999999998</v>
      </c>
    </row>
    <row r="100" spans="2:8" x14ac:dyDescent="0.3">
      <c r="B100" s="1">
        <v>45562</v>
      </c>
      <c r="C100" t="s">
        <v>164</v>
      </c>
      <c r="D100" t="s">
        <v>165</v>
      </c>
      <c r="E100" t="s">
        <v>10</v>
      </c>
      <c r="F100">
        <v>16</v>
      </c>
      <c r="G100">
        <v>54.34</v>
      </c>
      <c r="H100">
        <v>869.44</v>
      </c>
    </row>
    <row r="101" spans="2:8" x14ac:dyDescent="0.3">
      <c r="B101" s="1">
        <v>45404</v>
      </c>
      <c r="C101" t="s">
        <v>166</v>
      </c>
      <c r="D101" t="s">
        <v>37</v>
      </c>
      <c r="E101" t="s">
        <v>10</v>
      </c>
      <c r="F101">
        <v>9</v>
      </c>
      <c r="G101">
        <v>55.53</v>
      </c>
      <c r="H101">
        <v>499.77</v>
      </c>
    </row>
    <row r="102" spans="2:8" x14ac:dyDescent="0.3">
      <c r="B102" s="1">
        <v>45385</v>
      </c>
      <c r="C102" t="s">
        <v>167</v>
      </c>
      <c r="D102" t="s">
        <v>168</v>
      </c>
      <c r="E102" t="s">
        <v>10</v>
      </c>
      <c r="F102">
        <v>5</v>
      </c>
      <c r="G102">
        <v>25.66</v>
      </c>
      <c r="H102">
        <v>128.30000000000001</v>
      </c>
    </row>
    <row r="103" spans="2:8" x14ac:dyDescent="0.3">
      <c r="B103" s="1">
        <v>45503</v>
      </c>
      <c r="C103" t="s">
        <v>169</v>
      </c>
      <c r="D103" t="s">
        <v>135</v>
      </c>
      <c r="E103" t="s">
        <v>2</v>
      </c>
      <c r="F103">
        <v>18</v>
      </c>
      <c r="G103">
        <v>17.86</v>
      </c>
      <c r="H103">
        <v>321.48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C5C5B-D5D2-4EC0-8F58-C004B7CE96DF}">
  <sheetPr codeName="Sheet2"/>
  <dimension ref="B3:J105"/>
  <sheetViews>
    <sheetView showGridLines="0" topLeftCell="A102" workbookViewId="0">
      <selection activeCell="K6" sqref="K6"/>
    </sheetView>
  </sheetViews>
  <sheetFormatPr defaultRowHeight="14.4" x14ac:dyDescent="0.3"/>
  <cols>
    <col min="1" max="1" width="3.77734375" customWidth="1"/>
    <col min="2" max="2" width="15.77734375" style="1" customWidth="1"/>
    <col min="3" max="3" width="10.77734375" customWidth="1"/>
    <col min="4" max="4" width="13.44140625" customWidth="1"/>
    <col min="5" max="5" width="12.33203125" customWidth="1"/>
    <col min="6" max="6" width="16.5546875" customWidth="1"/>
    <col min="7" max="7" width="15.77734375" customWidth="1"/>
    <col min="8" max="8" width="16.6640625" customWidth="1"/>
  </cols>
  <sheetData>
    <row r="3" spans="2:10" ht="24.6" customHeight="1" x14ac:dyDescent="0.3">
      <c r="B3" s="34" t="s">
        <v>177</v>
      </c>
      <c r="C3" s="34"/>
      <c r="D3" s="34"/>
      <c r="E3" s="34"/>
      <c r="F3" s="34"/>
      <c r="G3" s="34"/>
      <c r="H3" s="34"/>
    </row>
    <row r="4" spans="2:10" x14ac:dyDescent="0.3">
      <c r="C4" s="1"/>
      <c r="D4" s="1"/>
      <c r="E4" s="1"/>
      <c r="F4" s="1"/>
      <c r="G4" s="1"/>
      <c r="H4" s="1"/>
    </row>
    <row r="5" spans="2:10" ht="45" customHeight="1" thickBot="1" x14ac:dyDescent="0.35">
      <c r="B5" s="6" t="s">
        <v>170</v>
      </c>
      <c r="C5" s="6" t="s">
        <v>171</v>
      </c>
      <c r="D5" s="6" t="s">
        <v>172</v>
      </c>
      <c r="E5" s="6" t="s">
        <v>173</v>
      </c>
      <c r="F5" s="6" t="s">
        <v>174</v>
      </c>
      <c r="G5" s="6" t="s">
        <v>175</v>
      </c>
      <c r="H5" s="6" t="s">
        <v>176</v>
      </c>
      <c r="I5" s="6" t="s">
        <v>185</v>
      </c>
      <c r="J5" s="6" t="s">
        <v>193</v>
      </c>
    </row>
    <row r="6" spans="2:10" ht="15" customHeight="1" x14ac:dyDescent="0.3">
      <c r="B6" s="4">
        <v>45311</v>
      </c>
      <c r="C6" s="3" t="s">
        <v>55</v>
      </c>
      <c r="D6" s="3" t="s">
        <v>56</v>
      </c>
      <c r="E6" s="3" t="s">
        <v>16</v>
      </c>
      <c r="F6" s="3">
        <v>4</v>
      </c>
      <c r="G6" s="15">
        <v>25.5</v>
      </c>
      <c r="H6" s="15">
        <v>102</v>
      </c>
      <c r="I6" s="3" t="str">
        <f>TEXT(salesTable[[#This Row],[DATE]],"YYYY-MM")</f>
        <v>2024-01</v>
      </c>
      <c r="J6" s="15">
        <f>salesTable[[#This Row],[TOTAL SALES ($)]]/salesTable[[#This Row],[QUANTITY SOLD]]</f>
        <v>25.5</v>
      </c>
    </row>
    <row r="7" spans="2:10" ht="15" customHeight="1" x14ac:dyDescent="0.3">
      <c r="B7" s="5">
        <v>45332</v>
      </c>
      <c r="C7" s="2" t="s">
        <v>22</v>
      </c>
      <c r="D7" s="2" t="s">
        <v>23</v>
      </c>
      <c r="E7" s="2" t="s">
        <v>7</v>
      </c>
      <c r="F7" s="2">
        <v>15</v>
      </c>
      <c r="G7" s="16">
        <v>74.64</v>
      </c>
      <c r="H7" s="16">
        <v>1119.5999999999999</v>
      </c>
      <c r="I7" s="2" t="str">
        <f>TEXT(salesTable[[#This Row],[DATE]],"YYYY-MM")</f>
        <v>2024-02</v>
      </c>
      <c r="J7" s="16">
        <f>salesTable[[#This Row],[TOTAL SALES ($)]]/salesTable[[#This Row],[QUANTITY SOLD]]</f>
        <v>74.64</v>
      </c>
    </row>
    <row r="8" spans="2:10" ht="15" customHeight="1" x14ac:dyDescent="0.3">
      <c r="B8" s="5">
        <v>45332</v>
      </c>
      <c r="C8" s="2" t="s">
        <v>136</v>
      </c>
      <c r="D8" s="2" t="s">
        <v>137</v>
      </c>
      <c r="E8" s="2" t="s">
        <v>10</v>
      </c>
      <c r="F8" s="2">
        <v>6</v>
      </c>
      <c r="G8" s="16">
        <v>30.03</v>
      </c>
      <c r="H8" s="16">
        <v>180.18</v>
      </c>
      <c r="I8" s="2" t="str">
        <f>TEXT(salesTable[[#This Row],[DATE]],"YYYY-MM")</f>
        <v>2024-02</v>
      </c>
      <c r="J8" s="16">
        <f>salesTable[[#This Row],[TOTAL SALES ($)]]/salesTable[[#This Row],[QUANTITY SOLD]]</f>
        <v>30.03</v>
      </c>
    </row>
    <row r="9" spans="2:10" ht="15" customHeight="1" x14ac:dyDescent="0.3">
      <c r="B9" s="5">
        <v>45333</v>
      </c>
      <c r="C9" s="2" t="s">
        <v>0</v>
      </c>
      <c r="D9" s="2" t="s">
        <v>1</v>
      </c>
      <c r="E9" s="2" t="s">
        <v>2</v>
      </c>
      <c r="F9" s="2">
        <v>15</v>
      </c>
      <c r="G9" s="16">
        <v>63.83</v>
      </c>
      <c r="H9" s="16">
        <v>957.45</v>
      </c>
      <c r="I9" s="2" t="str">
        <f>TEXT(salesTable[[#This Row],[DATE]],"YYYY-MM")</f>
        <v>2024-02</v>
      </c>
      <c r="J9" s="16">
        <f>salesTable[[#This Row],[TOTAL SALES ($)]]/salesTable[[#This Row],[QUANTITY SOLD]]</f>
        <v>63.830000000000005</v>
      </c>
    </row>
    <row r="10" spans="2:10" ht="15" customHeight="1" x14ac:dyDescent="0.3">
      <c r="B10" s="5">
        <v>45334</v>
      </c>
      <c r="C10" s="2" t="s">
        <v>51</v>
      </c>
      <c r="D10" s="2" t="s">
        <v>52</v>
      </c>
      <c r="E10" s="2" t="s">
        <v>16</v>
      </c>
      <c r="F10" s="2">
        <v>2</v>
      </c>
      <c r="G10" s="16">
        <v>93.13</v>
      </c>
      <c r="H10" s="16">
        <v>186.26</v>
      </c>
      <c r="I10" s="2" t="str">
        <f>TEXT(salesTable[[#This Row],[DATE]],"YYYY-MM")</f>
        <v>2024-02</v>
      </c>
      <c r="J10" s="16">
        <f>salesTable[[#This Row],[TOTAL SALES ($)]]/salesTable[[#This Row],[QUANTITY SOLD]]</f>
        <v>93.13</v>
      </c>
    </row>
    <row r="11" spans="2:10" ht="15" customHeight="1" x14ac:dyDescent="0.3">
      <c r="B11" s="5">
        <v>45338</v>
      </c>
      <c r="C11" s="2" t="s">
        <v>138</v>
      </c>
      <c r="D11" s="2" t="s">
        <v>75</v>
      </c>
      <c r="E11" s="2" t="s">
        <v>13</v>
      </c>
      <c r="F11" s="2">
        <v>16</v>
      </c>
      <c r="G11" s="16">
        <v>98.92</v>
      </c>
      <c r="H11" s="16">
        <v>1582.72</v>
      </c>
      <c r="I11" s="2" t="str">
        <f>TEXT(salesTable[[#This Row],[DATE]],"YYYY-MM")</f>
        <v>2024-02</v>
      </c>
      <c r="J11" s="16">
        <f>salesTable[[#This Row],[TOTAL SALES ($)]]/salesTable[[#This Row],[QUANTITY SOLD]]</f>
        <v>98.92</v>
      </c>
    </row>
    <row r="12" spans="2:10" ht="15" customHeight="1" x14ac:dyDescent="0.3">
      <c r="B12" s="5">
        <v>45338</v>
      </c>
      <c r="C12" s="2" t="s">
        <v>125</v>
      </c>
      <c r="D12" s="2" t="s">
        <v>126</v>
      </c>
      <c r="E12" s="2" t="s">
        <v>2</v>
      </c>
      <c r="F12" s="2">
        <v>12</v>
      </c>
      <c r="G12" s="16">
        <v>19.29</v>
      </c>
      <c r="H12" s="16">
        <v>231.48</v>
      </c>
      <c r="I12" s="2" t="str">
        <f>TEXT(salesTable[[#This Row],[DATE]],"YYYY-MM")</f>
        <v>2024-02</v>
      </c>
      <c r="J12" s="16">
        <f>salesTable[[#This Row],[TOTAL SALES ($)]]/salesTable[[#This Row],[QUANTITY SOLD]]</f>
        <v>19.29</v>
      </c>
    </row>
    <row r="13" spans="2:10" ht="15" customHeight="1" x14ac:dyDescent="0.3">
      <c r="B13" s="5">
        <v>45343</v>
      </c>
      <c r="C13" s="2" t="s">
        <v>68</v>
      </c>
      <c r="D13" s="2" t="s">
        <v>23</v>
      </c>
      <c r="E13" s="2" t="s">
        <v>7</v>
      </c>
      <c r="F13" s="2">
        <v>20</v>
      </c>
      <c r="G13" s="16">
        <v>28.56</v>
      </c>
      <c r="H13" s="16">
        <v>571.20000000000005</v>
      </c>
      <c r="I13" s="2" t="str">
        <f>TEXT(salesTable[[#This Row],[DATE]],"YYYY-MM")</f>
        <v>2024-02</v>
      </c>
      <c r="J13" s="16">
        <f>salesTable[[#This Row],[TOTAL SALES ($)]]/salesTable[[#This Row],[QUANTITY SOLD]]</f>
        <v>28.560000000000002</v>
      </c>
    </row>
    <row r="14" spans="2:10" ht="15" customHeight="1" x14ac:dyDescent="0.3">
      <c r="B14" s="5">
        <v>45350</v>
      </c>
      <c r="C14" s="2" t="s">
        <v>74</v>
      </c>
      <c r="D14" s="2" t="s">
        <v>75</v>
      </c>
      <c r="E14" s="2" t="s">
        <v>13</v>
      </c>
      <c r="F14" s="2">
        <v>13</v>
      </c>
      <c r="G14" s="16">
        <v>79</v>
      </c>
      <c r="H14" s="16">
        <v>1027</v>
      </c>
      <c r="I14" s="2" t="str">
        <f>TEXT(salesTable[[#This Row],[DATE]],"YYYY-MM")</f>
        <v>2024-02</v>
      </c>
      <c r="J14" s="16">
        <f>salesTable[[#This Row],[TOTAL SALES ($)]]/salesTable[[#This Row],[QUANTITY SOLD]]</f>
        <v>79</v>
      </c>
    </row>
    <row r="15" spans="2:10" ht="15" customHeight="1" x14ac:dyDescent="0.3">
      <c r="B15" s="5">
        <v>45361</v>
      </c>
      <c r="C15" s="2" t="s">
        <v>146</v>
      </c>
      <c r="D15" s="2" t="s">
        <v>147</v>
      </c>
      <c r="E15" s="2" t="s">
        <v>7</v>
      </c>
      <c r="F15" s="2">
        <v>11</v>
      </c>
      <c r="G15" s="16">
        <v>56.78</v>
      </c>
      <c r="H15" s="16">
        <v>624.58000000000004</v>
      </c>
      <c r="I15" s="2" t="str">
        <f>TEXT(salesTable[[#This Row],[DATE]],"YYYY-MM")</f>
        <v>2024-03</v>
      </c>
      <c r="J15" s="16">
        <f>salesTable[[#This Row],[TOTAL SALES ($)]]/salesTable[[#This Row],[QUANTITY SOLD]]</f>
        <v>56.78</v>
      </c>
    </row>
    <row r="16" spans="2:10" ht="15" customHeight="1" x14ac:dyDescent="0.3">
      <c r="B16" s="5">
        <v>45363</v>
      </c>
      <c r="C16" s="2" t="s">
        <v>5</v>
      </c>
      <c r="D16" s="2" t="s">
        <v>6</v>
      </c>
      <c r="E16" s="2" t="s">
        <v>7</v>
      </c>
      <c r="F16" s="2">
        <v>14</v>
      </c>
      <c r="G16" s="16">
        <v>68.150000000000006</v>
      </c>
      <c r="H16" s="16">
        <v>954.1</v>
      </c>
      <c r="I16" s="2" t="str">
        <f>TEXT(salesTable[[#This Row],[DATE]],"YYYY-MM")</f>
        <v>2024-03</v>
      </c>
      <c r="J16" s="16">
        <f>salesTable[[#This Row],[TOTAL SALES ($)]]/salesTable[[#This Row],[QUANTITY SOLD]]</f>
        <v>68.150000000000006</v>
      </c>
    </row>
    <row r="17" spans="2:10" ht="15" customHeight="1" x14ac:dyDescent="0.3">
      <c r="B17" s="5">
        <v>45363</v>
      </c>
      <c r="C17" s="2" t="s">
        <v>61</v>
      </c>
      <c r="D17" s="2" t="s">
        <v>4</v>
      </c>
      <c r="E17" s="2" t="s">
        <v>2</v>
      </c>
      <c r="F17" s="2">
        <v>12</v>
      </c>
      <c r="G17" s="16">
        <v>50.33</v>
      </c>
      <c r="H17" s="16">
        <v>603.96</v>
      </c>
      <c r="I17" s="2" t="str">
        <f>TEXT(salesTable[[#This Row],[DATE]],"YYYY-MM")</f>
        <v>2024-03</v>
      </c>
      <c r="J17" s="16">
        <f>salesTable[[#This Row],[TOTAL SALES ($)]]/salesTable[[#This Row],[QUANTITY SOLD]]</f>
        <v>50.330000000000005</v>
      </c>
    </row>
    <row r="18" spans="2:10" ht="15" customHeight="1" x14ac:dyDescent="0.3">
      <c r="B18" s="5">
        <v>45367</v>
      </c>
      <c r="C18" s="2" t="s">
        <v>122</v>
      </c>
      <c r="D18" s="2" t="s">
        <v>58</v>
      </c>
      <c r="E18" s="2" t="s">
        <v>10</v>
      </c>
      <c r="F18" s="2">
        <v>17</v>
      </c>
      <c r="G18" s="16">
        <v>90.47</v>
      </c>
      <c r="H18" s="16">
        <v>1537.99</v>
      </c>
      <c r="I18" s="2" t="str">
        <f>TEXT(salesTable[[#This Row],[DATE]],"YYYY-MM")</f>
        <v>2024-03</v>
      </c>
      <c r="J18" s="16">
        <f>salesTable[[#This Row],[TOTAL SALES ($)]]/salesTable[[#This Row],[QUANTITY SOLD]]</f>
        <v>90.47</v>
      </c>
    </row>
    <row r="19" spans="2:10" ht="15" customHeight="1" x14ac:dyDescent="0.3">
      <c r="B19" s="5">
        <v>45369</v>
      </c>
      <c r="C19" s="2" t="s">
        <v>53</v>
      </c>
      <c r="D19" s="2" t="s">
        <v>54</v>
      </c>
      <c r="E19" s="2" t="s">
        <v>13</v>
      </c>
      <c r="F19" s="2">
        <v>12</v>
      </c>
      <c r="G19" s="16">
        <v>45.2</v>
      </c>
      <c r="H19" s="16">
        <v>542.4</v>
      </c>
      <c r="I19" s="2" t="str">
        <f>TEXT(salesTable[[#This Row],[DATE]],"YYYY-MM")</f>
        <v>2024-03</v>
      </c>
      <c r="J19" s="16">
        <f>salesTable[[#This Row],[TOTAL SALES ($)]]/salesTable[[#This Row],[QUANTITY SOLD]]</f>
        <v>45.199999999999996</v>
      </c>
    </row>
    <row r="20" spans="2:10" ht="15" customHeight="1" x14ac:dyDescent="0.3">
      <c r="B20" s="5">
        <v>45375</v>
      </c>
      <c r="C20" s="2" t="s">
        <v>24</v>
      </c>
      <c r="D20" s="2" t="s">
        <v>25</v>
      </c>
      <c r="E20" s="2" t="s">
        <v>7</v>
      </c>
      <c r="F20" s="2">
        <v>14</v>
      </c>
      <c r="G20" s="16">
        <v>51.07</v>
      </c>
      <c r="H20" s="16">
        <v>714.98</v>
      </c>
      <c r="I20" s="2" t="str">
        <f>TEXT(salesTable[[#This Row],[DATE]],"YYYY-MM")</f>
        <v>2024-03</v>
      </c>
      <c r="J20" s="16">
        <f>salesTable[[#This Row],[TOTAL SALES ($)]]/salesTable[[#This Row],[QUANTITY SOLD]]</f>
        <v>51.07</v>
      </c>
    </row>
    <row r="21" spans="2:10" ht="15" customHeight="1" x14ac:dyDescent="0.3">
      <c r="B21" s="5">
        <v>45381</v>
      </c>
      <c r="C21" s="2" t="s">
        <v>120</v>
      </c>
      <c r="D21" s="2" t="s">
        <v>121</v>
      </c>
      <c r="E21" s="2" t="s">
        <v>2</v>
      </c>
      <c r="F21" s="2">
        <v>12</v>
      </c>
      <c r="G21" s="16">
        <v>7.25</v>
      </c>
      <c r="H21" s="16">
        <v>87</v>
      </c>
      <c r="I21" s="2" t="str">
        <f>TEXT(salesTable[[#This Row],[DATE]],"YYYY-MM")</f>
        <v>2024-03</v>
      </c>
      <c r="J21" s="16">
        <f>salesTable[[#This Row],[TOTAL SALES ($)]]/salesTable[[#This Row],[QUANTITY SOLD]]</f>
        <v>7.25</v>
      </c>
    </row>
    <row r="22" spans="2:10" ht="15" customHeight="1" x14ac:dyDescent="0.3">
      <c r="B22" s="5">
        <v>45382</v>
      </c>
      <c r="C22" s="2" t="s">
        <v>14</v>
      </c>
      <c r="D22" s="2" t="s">
        <v>15</v>
      </c>
      <c r="E22" s="2" t="s">
        <v>16</v>
      </c>
      <c r="F22" s="2">
        <v>18</v>
      </c>
      <c r="G22" s="16">
        <v>92.09</v>
      </c>
      <c r="H22" s="16">
        <v>1657.62</v>
      </c>
      <c r="I22" s="2" t="str">
        <f>TEXT(salesTable[[#This Row],[DATE]],"YYYY-MM")</f>
        <v>2024-03</v>
      </c>
      <c r="J22" s="16">
        <f>salesTable[[#This Row],[TOTAL SALES ($)]]/salesTable[[#This Row],[QUANTITY SOLD]]</f>
        <v>92.089999999999989</v>
      </c>
    </row>
    <row r="23" spans="2:10" ht="15" customHeight="1" x14ac:dyDescent="0.3">
      <c r="B23" s="5">
        <v>45385</v>
      </c>
      <c r="C23" s="2" t="s">
        <v>40</v>
      </c>
      <c r="D23" s="2" t="s">
        <v>41</v>
      </c>
      <c r="E23" s="2" t="s">
        <v>2</v>
      </c>
      <c r="F23" s="2">
        <v>1</v>
      </c>
      <c r="G23" s="16">
        <v>34.04</v>
      </c>
      <c r="H23" s="16">
        <v>34.04</v>
      </c>
      <c r="I23" s="2" t="str">
        <f>TEXT(salesTable[[#This Row],[DATE]],"YYYY-MM")</f>
        <v>2024-04</v>
      </c>
      <c r="J23" s="16">
        <f>salesTable[[#This Row],[TOTAL SALES ($)]]/salesTable[[#This Row],[QUANTITY SOLD]]</f>
        <v>34.04</v>
      </c>
    </row>
    <row r="24" spans="2:10" ht="15" customHeight="1" x14ac:dyDescent="0.3">
      <c r="B24" s="5">
        <v>45385</v>
      </c>
      <c r="C24" s="2" t="s">
        <v>167</v>
      </c>
      <c r="D24" s="2" t="s">
        <v>168</v>
      </c>
      <c r="E24" s="2" t="s">
        <v>10</v>
      </c>
      <c r="F24" s="2">
        <v>5</v>
      </c>
      <c r="G24" s="16">
        <v>25.66</v>
      </c>
      <c r="H24" s="16">
        <v>128.30000000000001</v>
      </c>
      <c r="I24" s="2" t="str">
        <f>TEXT(salesTable[[#This Row],[DATE]],"YYYY-MM")</f>
        <v>2024-04</v>
      </c>
      <c r="J24" s="16">
        <f>salesTable[[#This Row],[TOTAL SALES ($)]]/salesTable[[#This Row],[QUANTITY SOLD]]</f>
        <v>25.660000000000004</v>
      </c>
    </row>
    <row r="25" spans="2:10" ht="15" customHeight="1" x14ac:dyDescent="0.3">
      <c r="B25" s="5">
        <v>45385</v>
      </c>
      <c r="C25" s="2" t="s">
        <v>79</v>
      </c>
      <c r="D25" s="2" t="s">
        <v>80</v>
      </c>
      <c r="E25" s="2" t="s">
        <v>13</v>
      </c>
      <c r="F25" s="2">
        <v>17</v>
      </c>
      <c r="G25" s="16">
        <v>21.14</v>
      </c>
      <c r="H25" s="16">
        <v>359.38</v>
      </c>
      <c r="I25" s="2" t="str">
        <f>TEXT(salesTable[[#This Row],[DATE]],"YYYY-MM")</f>
        <v>2024-04</v>
      </c>
      <c r="J25" s="16">
        <f>salesTable[[#This Row],[TOTAL SALES ($)]]/salesTable[[#This Row],[QUANTITY SOLD]]</f>
        <v>21.14</v>
      </c>
    </row>
    <row r="26" spans="2:10" ht="15" customHeight="1" x14ac:dyDescent="0.3">
      <c r="B26" s="5">
        <v>45389</v>
      </c>
      <c r="C26" s="2" t="s">
        <v>77</v>
      </c>
      <c r="D26" s="2" t="s">
        <v>78</v>
      </c>
      <c r="E26" s="2" t="s">
        <v>2</v>
      </c>
      <c r="F26" s="2">
        <v>1</v>
      </c>
      <c r="G26" s="16">
        <v>33.979999999999997</v>
      </c>
      <c r="H26" s="16">
        <v>33.979999999999997</v>
      </c>
      <c r="I26" s="2" t="str">
        <f>TEXT(salesTable[[#This Row],[DATE]],"YYYY-MM")</f>
        <v>2024-04</v>
      </c>
      <c r="J26" s="16">
        <f>salesTable[[#This Row],[TOTAL SALES ($)]]/salesTable[[#This Row],[QUANTITY SOLD]]</f>
        <v>33.979999999999997</v>
      </c>
    </row>
    <row r="27" spans="2:10" ht="15" customHeight="1" x14ac:dyDescent="0.3">
      <c r="B27" s="5">
        <v>45390</v>
      </c>
      <c r="C27" s="2" t="s">
        <v>153</v>
      </c>
      <c r="D27" s="2" t="s">
        <v>154</v>
      </c>
      <c r="E27" s="2" t="s">
        <v>7</v>
      </c>
      <c r="F27" s="2">
        <v>6</v>
      </c>
      <c r="G27" s="16">
        <v>12.74</v>
      </c>
      <c r="H27" s="16">
        <v>76.44</v>
      </c>
      <c r="I27" s="2" t="str">
        <f>TEXT(salesTable[[#This Row],[DATE]],"YYYY-MM")</f>
        <v>2024-04</v>
      </c>
      <c r="J27" s="16">
        <f>salesTable[[#This Row],[TOTAL SALES ($)]]/salesTable[[#This Row],[QUANTITY SOLD]]</f>
        <v>12.74</v>
      </c>
    </row>
    <row r="28" spans="2:10" ht="15" customHeight="1" x14ac:dyDescent="0.3">
      <c r="B28" s="5">
        <v>45392</v>
      </c>
      <c r="C28" s="2" t="s">
        <v>82</v>
      </c>
      <c r="D28" s="2" t="s">
        <v>47</v>
      </c>
      <c r="E28" s="2" t="s">
        <v>13</v>
      </c>
      <c r="F28" s="2">
        <v>11</v>
      </c>
      <c r="G28" s="16">
        <v>60.61</v>
      </c>
      <c r="H28" s="16">
        <v>666.71</v>
      </c>
      <c r="I28" s="2" t="str">
        <f>TEXT(salesTable[[#This Row],[DATE]],"YYYY-MM")</f>
        <v>2024-04</v>
      </c>
      <c r="J28" s="16">
        <f>salesTable[[#This Row],[TOTAL SALES ($)]]/salesTable[[#This Row],[QUANTITY SOLD]]</f>
        <v>60.610000000000007</v>
      </c>
    </row>
    <row r="29" spans="2:10" ht="15" customHeight="1" x14ac:dyDescent="0.3">
      <c r="B29" s="5">
        <v>45402</v>
      </c>
      <c r="C29" s="2" t="s">
        <v>148</v>
      </c>
      <c r="D29" s="2" t="s">
        <v>149</v>
      </c>
      <c r="E29" s="2" t="s">
        <v>16</v>
      </c>
      <c r="F29" s="2">
        <v>2</v>
      </c>
      <c r="G29" s="16">
        <v>29.77</v>
      </c>
      <c r="H29" s="16">
        <v>59.54</v>
      </c>
      <c r="I29" s="2" t="str">
        <f>TEXT(salesTable[[#This Row],[DATE]],"YYYY-MM")</f>
        <v>2024-04</v>
      </c>
      <c r="J29" s="16">
        <f>salesTable[[#This Row],[TOTAL SALES ($)]]/salesTable[[#This Row],[QUANTITY SOLD]]</f>
        <v>29.77</v>
      </c>
    </row>
    <row r="30" spans="2:10" ht="15" customHeight="1" x14ac:dyDescent="0.3">
      <c r="B30" s="5">
        <v>45403</v>
      </c>
      <c r="C30" s="2" t="s">
        <v>116</v>
      </c>
      <c r="D30" s="2" t="s">
        <v>39</v>
      </c>
      <c r="E30" s="2" t="s">
        <v>13</v>
      </c>
      <c r="F30" s="2">
        <v>8</v>
      </c>
      <c r="G30" s="16">
        <v>89.51</v>
      </c>
      <c r="H30" s="16">
        <v>716.08</v>
      </c>
      <c r="I30" s="2" t="str">
        <f>TEXT(salesTable[[#This Row],[DATE]],"YYYY-MM")</f>
        <v>2024-04</v>
      </c>
      <c r="J30" s="16">
        <f>salesTable[[#This Row],[TOTAL SALES ($)]]/salesTable[[#This Row],[QUANTITY SOLD]]</f>
        <v>89.51</v>
      </c>
    </row>
    <row r="31" spans="2:10" ht="15" customHeight="1" x14ac:dyDescent="0.3">
      <c r="B31" s="5">
        <v>45403</v>
      </c>
      <c r="C31" s="2" t="s">
        <v>112</v>
      </c>
      <c r="D31" s="2" t="s">
        <v>113</v>
      </c>
      <c r="E31" s="2" t="s">
        <v>16</v>
      </c>
      <c r="F31" s="2">
        <v>12</v>
      </c>
      <c r="G31" s="16">
        <v>15.46</v>
      </c>
      <c r="H31" s="16">
        <v>185.52</v>
      </c>
      <c r="I31" s="2" t="str">
        <f>TEXT(salesTable[[#This Row],[DATE]],"YYYY-MM")</f>
        <v>2024-04</v>
      </c>
      <c r="J31" s="16">
        <f>salesTable[[#This Row],[TOTAL SALES ($)]]/salesTable[[#This Row],[QUANTITY SOLD]]</f>
        <v>15.46</v>
      </c>
    </row>
    <row r="32" spans="2:10" ht="15" customHeight="1" x14ac:dyDescent="0.3">
      <c r="B32" s="5">
        <v>45404</v>
      </c>
      <c r="C32" s="2" t="s">
        <v>166</v>
      </c>
      <c r="D32" s="2" t="s">
        <v>37</v>
      </c>
      <c r="E32" s="2" t="s">
        <v>10</v>
      </c>
      <c r="F32" s="2">
        <v>9</v>
      </c>
      <c r="G32" s="16">
        <v>55.53</v>
      </c>
      <c r="H32" s="16">
        <v>499.77</v>
      </c>
      <c r="I32" s="2" t="str">
        <f>TEXT(salesTable[[#This Row],[DATE]],"YYYY-MM")</f>
        <v>2024-04</v>
      </c>
      <c r="J32" s="16">
        <f>salesTable[[#This Row],[TOTAL SALES ($)]]/salesTable[[#This Row],[QUANTITY SOLD]]</f>
        <v>55.53</v>
      </c>
    </row>
    <row r="33" spans="2:10" ht="15" customHeight="1" x14ac:dyDescent="0.3">
      <c r="B33" s="5">
        <v>45410</v>
      </c>
      <c r="C33" s="2" t="s">
        <v>98</v>
      </c>
      <c r="D33" s="2" t="s">
        <v>99</v>
      </c>
      <c r="E33" s="2" t="s">
        <v>10</v>
      </c>
      <c r="F33" s="2">
        <v>7</v>
      </c>
      <c r="G33" s="16">
        <v>30.65</v>
      </c>
      <c r="H33" s="16">
        <v>214.55</v>
      </c>
      <c r="I33" s="2" t="str">
        <f>TEXT(salesTable[[#This Row],[DATE]],"YYYY-MM")</f>
        <v>2024-04</v>
      </c>
      <c r="J33" s="16">
        <f>salesTable[[#This Row],[TOTAL SALES ($)]]/salesTable[[#This Row],[QUANTITY SOLD]]</f>
        <v>30.650000000000002</v>
      </c>
    </row>
    <row r="34" spans="2:10" ht="15" customHeight="1" x14ac:dyDescent="0.3">
      <c r="B34" s="5">
        <v>45412</v>
      </c>
      <c r="C34" s="2" t="s">
        <v>163</v>
      </c>
      <c r="D34" s="2" t="s">
        <v>113</v>
      </c>
      <c r="E34" s="2" t="s">
        <v>2</v>
      </c>
      <c r="F34" s="2">
        <v>4</v>
      </c>
      <c r="G34" s="16">
        <v>69.349999999999994</v>
      </c>
      <c r="H34" s="16">
        <v>277.39999999999998</v>
      </c>
      <c r="I34" s="2" t="str">
        <f>TEXT(salesTable[[#This Row],[DATE]],"YYYY-MM")</f>
        <v>2024-04</v>
      </c>
      <c r="J34" s="16">
        <f>salesTable[[#This Row],[TOTAL SALES ($)]]/salesTable[[#This Row],[QUANTITY SOLD]]</f>
        <v>69.349999999999994</v>
      </c>
    </row>
    <row r="35" spans="2:10" ht="15" customHeight="1" x14ac:dyDescent="0.3">
      <c r="B35" s="5">
        <v>45413</v>
      </c>
      <c r="C35" s="2" t="s">
        <v>157</v>
      </c>
      <c r="D35" s="2" t="s">
        <v>73</v>
      </c>
      <c r="E35" s="2" t="s">
        <v>13</v>
      </c>
      <c r="F35" s="2">
        <v>18</v>
      </c>
      <c r="G35" s="16">
        <v>61.77</v>
      </c>
      <c r="H35" s="16">
        <v>1111.8599999999999</v>
      </c>
      <c r="I35" s="2" t="str">
        <f>TEXT(salesTable[[#This Row],[DATE]],"YYYY-MM")</f>
        <v>2024-05</v>
      </c>
      <c r="J35" s="16">
        <f>salesTable[[#This Row],[TOTAL SALES ($)]]/salesTable[[#This Row],[QUANTITY SOLD]]</f>
        <v>61.769999999999996</v>
      </c>
    </row>
    <row r="36" spans="2:10" ht="15" customHeight="1" x14ac:dyDescent="0.3">
      <c r="B36" s="5">
        <v>45416</v>
      </c>
      <c r="C36" s="2" t="s">
        <v>59</v>
      </c>
      <c r="D36" s="2" t="s">
        <v>60</v>
      </c>
      <c r="E36" s="2" t="s">
        <v>2</v>
      </c>
      <c r="F36" s="2">
        <v>8</v>
      </c>
      <c r="G36" s="16">
        <v>86.62</v>
      </c>
      <c r="H36" s="16">
        <v>692.96</v>
      </c>
      <c r="I36" s="2" t="str">
        <f>TEXT(salesTable[[#This Row],[DATE]],"YYYY-MM")</f>
        <v>2024-05</v>
      </c>
      <c r="J36" s="16">
        <f>salesTable[[#This Row],[TOTAL SALES ($)]]/salesTable[[#This Row],[QUANTITY SOLD]]</f>
        <v>86.62</v>
      </c>
    </row>
    <row r="37" spans="2:10" ht="15" customHeight="1" x14ac:dyDescent="0.3">
      <c r="B37" s="5">
        <v>45419</v>
      </c>
      <c r="C37" s="2" t="s">
        <v>151</v>
      </c>
      <c r="D37" s="2" t="s">
        <v>20</v>
      </c>
      <c r="E37" s="2" t="s">
        <v>10</v>
      </c>
      <c r="F37" s="2">
        <v>7</v>
      </c>
      <c r="G37" s="16">
        <v>51.85</v>
      </c>
      <c r="H37" s="16">
        <v>362.95</v>
      </c>
      <c r="I37" s="2" t="str">
        <f>TEXT(salesTable[[#This Row],[DATE]],"YYYY-MM")</f>
        <v>2024-05</v>
      </c>
      <c r="J37" s="16">
        <f>salesTable[[#This Row],[TOTAL SALES ($)]]/salesTable[[#This Row],[QUANTITY SOLD]]</f>
        <v>51.85</v>
      </c>
    </row>
    <row r="38" spans="2:10" ht="15" customHeight="1" x14ac:dyDescent="0.3">
      <c r="B38" s="5">
        <v>45420</v>
      </c>
      <c r="C38" s="2" t="s">
        <v>49</v>
      </c>
      <c r="D38" s="2" t="s">
        <v>50</v>
      </c>
      <c r="E38" s="2" t="s">
        <v>16</v>
      </c>
      <c r="F38" s="2">
        <v>9</v>
      </c>
      <c r="G38" s="16">
        <v>37.67</v>
      </c>
      <c r="H38" s="16">
        <v>339.03</v>
      </c>
      <c r="I38" s="2" t="str">
        <f>TEXT(salesTable[[#This Row],[DATE]],"YYYY-MM")</f>
        <v>2024-05</v>
      </c>
      <c r="J38" s="16">
        <f>salesTable[[#This Row],[TOTAL SALES ($)]]/salesTable[[#This Row],[QUANTITY SOLD]]</f>
        <v>37.669999999999995</v>
      </c>
    </row>
    <row r="39" spans="2:10" ht="15" customHeight="1" x14ac:dyDescent="0.3">
      <c r="B39" s="5">
        <v>45437</v>
      </c>
      <c r="C39" s="2" t="s">
        <v>26</v>
      </c>
      <c r="D39" s="2" t="s">
        <v>27</v>
      </c>
      <c r="E39" s="2" t="s">
        <v>10</v>
      </c>
      <c r="F39" s="2">
        <v>3</v>
      </c>
      <c r="G39" s="16">
        <v>57.34</v>
      </c>
      <c r="H39" s="16">
        <v>172.02</v>
      </c>
      <c r="I39" s="2" t="str">
        <f>TEXT(salesTable[[#This Row],[DATE]],"YYYY-MM")</f>
        <v>2024-05</v>
      </c>
      <c r="J39" s="16">
        <f>salesTable[[#This Row],[TOTAL SALES ($)]]/salesTable[[#This Row],[QUANTITY SOLD]]</f>
        <v>57.34</v>
      </c>
    </row>
    <row r="40" spans="2:10" ht="15" customHeight="1" x14ac:dyDescent="0.3">
      <c r="B40" s="5">
        <v>45438</v>
      </c>
      <c r="C40" s="2" t="s">
        <v>127</v>
      </c>
      <c r="D40" s="2" t="s">
        <v>63</v>
      </c>
      <c r="E40" s="2" t="s">
        <v>16</v>
      </c>
      <c r="F40" s="2">
        <v>14</v>
      </c>
      <c r="G40" s="16">
        <v>98.02</v>
      </c>
      <c r="H40" s="16">
        <v>1372.28</v>
      </c>
      <c r="I40" s="2" t="str">
        <f>TEXT(salesTable[[#This Row],[DATE]],"YYYY-MM")</f>
        <v>2024-05</v>
      </c>
      <c r="J40" s="16">
        <f>salesTable[[#This Row],[TOTAL SALES ($)]]/salesTable[[#This Row],[QUANTITY SOLD]]</f>
        <v>98.02</v>
      </c>
    </row>
    <row r="41" spans="2:10" ht="15" customHeight="1" x14ac:dyDescent="0.3">
      <c r="B41" s="5">
        <v>45439</v>
      </c>
      <c r="C41" s="2" t="s">
        <v>134</v>
      </c>
      <c r="D41" s="2" t="s">
        <v>135</v>
      </c>
      <c r="E41" s="2" t="s">
        <v>16</v>
      </c>
      <c r="F41" s="2">
        <v>12</v>
      </c>
      <c r="G41" s="16">
        <v>74.930000000000007</v>
      </c>
      <c r="H41" s="16">
        <v>899.16</v>
      </c>
      <c r="I41" s="2" t="str">
        <f>TEXT(salesTable[[#This Row],[DATE]],"YYYY-MM")</f>
        <v>2024-05</v>
      </c>
      <c r="J41" s="16">
        <f>salesTable[[#This Row],[TOTAL SALES ($)]]/salesTable[[#This Row],[QUANTITY SOLD]]</f>
        <v>74.929999999999993</v>
      </c>
    </row>
    <row r="42" spans="2:10" ht="15" customHeight="1" x14ac:dyDescent="0.3">
      <c r="B42" s="5">
        <v>45442</v>
      </c>
      <c r="C42" s="2" t="s">
        <v>34</v>
      </c>
      <c r="D42" s="2" t="s">
        <v>35</v>
      </c>
      <c r="E42" s="2" t="s">
        <v>7</v>
      </c>
      <c r="F42" s="2">
        <v>17</v>
      </c>
      <c r="G42" s="16">
        <v>33.909999999999997</v>
      </c>
      <c r="H42" s="16">
        <v>576.47</v>
      </c>
      <c r="I42" s="2" t="str">
        <f>TEXT(salesTable[[#This Row],[DATE]],"YYYY-MM")</f>
        <v>2024-05</v>
      </c>
      <c r="J42" s="16">
        <f>salesTable[[#This Row],[TOTAL SALES ($)]]/salesTable[[#This Row],[QUANTITY SOLD]]</f>
        <v>33.910000000000004</v>
      </c>
    </row>
    <row r="43" spans="2:10" ht="15" customHeight="1" x14ac:dyDescent="0.3">
      <c r="B43" s="5">
        <v>45467</v>
      </c>
      <c r="C43" s="2" t="s">
        <v>8</v>
      </c>
      <c r="D43" s="2" t="s">
        <v>9</v>
      </c>
      <c r="E43" s="2" t="s">
        <v>10</v>
      </c>
      <c r="F43" s="2">
        <v>18</v>
      </c>
      <c r="G43" s="16">
        <v>40.28</v>
      </c>
      <c r="H43" s="16">
        <v>725.04</v>
      </c>
      <c r="I43" s="2" t="str">
        <f>TEXT(salesTable[[#This Row],[DATE]],"YYYY-MM")</f>
        <v>2024-06</v>
      </c>
      <c r="J43" s="16">
        <f>salesTable[[#This Row],[TOTAL SALES ($)]]/salesTable[[#This Row],[QUANTITY SOLD]]</f>
        <v>40.28</v>
      </c>
    </row>
    <row r="44" spans="2:10" ht="15" customHeight="1" x14ac:dyDescent="0.3">
      <c r="B44" s="5">
        <v>45468</v>
      </c>
      <c r="C44" s="2" t="s">
        <v>159</v>
      </c>
      <c r="D44" s="2" t="s">
        <v>113</v>
      </c>
      <c r="E44" s="2" t="s">
        <v>13</v>
      </c>
      <c r="F44" s="2">
        <v>2</v>
      </c>
      <c r="G44" s="16">
        <v>26.37</v>
      </c>
      <c r="H44" s="16">
        <v>52.74</v>
      </c>
      <c r="I44" s="2" t="str">
        <f>TEXT(salesTable[[#This Row],[DATE]],"YYYY-MM")</f>
        <v>2024-06</v>
      </c>
      <c r="J44" s="16">
        <f>salesTable[[#This Row],[TOTAL SALES ($)]]/salesTable[[#This Row],[QUANTITY SOLD]]</f>
        <v>26.37</v>
      </c>
    </row>
    <row r="45" spans="2:10" ht="15" customHeight="1" x14ac:dyDescent="0.3">
      <c r="B45" s="5">
        <v>45469</v>
      </c>
      <c r="C45" s="2" t="s">
        <v>57</v>
      </c>
      <c r="D45" s="2" t="s">
        <v>58</v>
      </c>
      <c r="E45" s="2" t="s">
        <v>16</v>
      </c>
      <c r="F45" s="2">
        <v>1</v>
      </c>
      <c r="G45" s="16">
        <v>31.23</v>
      </c>
      <c r="H45" s="16">
        <v>31.23</v>
      </c>
      <c r="I45" s="2" t="str">
        <f>TEXT(salesTable[[#This Row],[DATE]],"YYYY-MM")</f>
        <v>2024-06</v>
      </c>
      <c r="J45" s="16">
        <f>salesTable[[#This Row],[TOTAL SALES ($)]]/salesTable[[#This Row],[QUANTITY SOLD]]</f>
        <v>31.23</v>
      </c>
    </row>
    <row r="46" spans="2:10" ht="15" customHeight="1" x14ac:dyDescent="0.3">
      <c r="B46" s="5">
        <v>45472</v>
      </c>
      <c r="C46" s="2" t="s">
        <v>76</v>
      </c>
      <c r="D46" s="2" t="s">
        <v>67</v>
      </c>
      <c r="E46" s="2" t="s">
        <v>10</v>
      </c>
      <c r="F46" s="2">
        <v>2</v>
      </c>
      <c r="G46" s="16">
        <v>18.47</v>
      </c>
      <c r="H46" s="16">
        <v>36.94</v>
      </c>
      <c r="I46" s="2" t="str">
        <f>TEXT(salesTable[[#This Row],[DATE]],"YYYY-MM")</f>
        <v>2024-06</v>
      </c>
      <c r="J46" s="16">
        <f>salesTable[[#This Row],[TOTAL SALES ($)]]/salesTable[[#This Row],[QUANTITY SOLD]]</f>
        <v>18.47</v>
      </c>
    </row>
    <row r="47" spans="2:10" ht="15" customHeight="1" x14ac:dyDescent="0.3">
      <c r="B47" s="5">
        <v>45473</v>
      </c>
      <c r="C47" s="2" t="s">
        <v>117</v>
      </c>
      <c r="D47" s="2" t="s">
        <v>15</v>
      </c>
      <c r="E47" s="2" t="s">
        <v>7</v>
      </c>
      <c r="F47" s="2">
        <v>14</v>
      </c>
      <c r="G47" s="16">
        <v>97.89</v>
      </c>
      <c r="H47" s="16">
        <v>1370.46</v>
      </c>
      <c r="I47" s="2" t="str">
        <f>TEXT(salesTable[[#This Row],[DATE]],"YYYY-MM")</f>
        <v>2024-06</v>
      </c>
      <c r="J47" s="16">
        <f>salesTable[[#This Row],[TOTAL SALES ($)]]/salesTable[[#This Row],[QUANTITY SOLD]]</f>
        <v>97.89</v>
      </c>
    </row>
    <row r="48" spans="2:10" ht="15" customHeight="1" x14ac:dyDescent="0.3">
      <c r="B48" s="5">
        <v>45492</v>
      </c>
      <c r="C48" s="2" t="s">
        <v>48</v>
      </c>
      <c r="D48" s="2" t="s">
        <v>15</v>
      </c>
      <c r="E48" s="2" t="s">
        <v>16</v>
      </c>
      <c r="F48" s="2">
        <v>10</v>
      </c>
      <c r="G48" s="16">
        <v>29.79</v>
      </c>
      <c r="H48" s="16">
        <v>297.89999999999998</v>
      </c>
      <c r="I48" s="2" t="str">
        <f>TEXT(salesTable[[#This Row],[DATE]],"YYYY-MM")</f>
        <v>2024-07</v>
      </c>
      <c r="J48" s="16">
        <f>salesTable[[#This Row],[TOTAL SALES ($)]]/salesTable[[#This Row],[QUANTITY SOLD]]</f>
        <v>29.79</v>
      </c>
    </row>
    <row r="49" spans="2:10" ht="15" customHeight="1" x14ac:dyDescent="0.3">
      <c r="B49" s="5">
        <v>45493</v>
      </c>
      <c r="C49" s="2" t="s">
        <v>106</v>
      </c>
      <c r="D49" s="2" t="s">
        <v>107</v>
      </c>
      <c r="E49" s="2" t="s">
        <v>10</v>
      </c>
      <c r="F49" s="2">
        <v>14</v>
      </c>
      <c r="G49" s="16">
        <v>12.51</v>
      </c>
      <c r="H49" s="16">
        <v>175.14</v>
      </c>
      <c r="I49" s="2" t="str">
        <f>TEXT(salesTable[[#This Row],[DATE]],"YYYY-MM")</f>
        <v>2024-07</v>
      </c>
      <c r="J49" s="16">
        <f>salesTable[[#This Row],[TOTAL SALES ($)]]/salesTable[[#This Row],[QUANTITY SOLD]]</f>
        <v>12.51</v>
      </c>
    </row>
    <row r="50" spans="2:10" ht="15" customHeight="1" x14ac:dyDescent="0.3">
      <c r="B50" s="5">
        <v>45495</v>
      </c>
      <c r="C50" s="2" t="s">
        <v>28</v>
      </c>
      <c r="D50" s="2" t="s">
        <v>29</v>
      </c>
      <c r="E50" s="2" t="s">
        <v>2</v>
      </c>
      <c r="F50" s="2">
        <v>19</v>
      </c>
      <c r="G50" s="16">
        <v>37.049999999999997</v>
      </c>
      <c r="H50" s="16">
        <v>703.95</v>
      </c>
      <c r="I50" s="2" t="str">
        <f>TEXT(salesTable[[#This Row],[DATE]],"YYYY-MM")</f>
        <v>2024-07</v>
      </c>
      <c r="J50" s="16">
        <f>salesTable[[#This Row],[TOTAL SALES ($)]]/salesTable[[#This Row],[QUANTITY SOLD]]</f>
        <v>37.050000000000004</v>
      </c>
    </row>
    <row r="51" spans="2:10" ht="15" customHeight="1" x14ac:dyDescent="0.3">
      <c r="B51" s="5">
        <v>45495</v>
      </c>
      <c r="C51" s="2" t="s">
        <v>62</v>
      </c>
      <c r="D51" s="2" t="s">
        <v>63</v>
      </c>
      <c r="E51" s="2" t="s">
        <v>7</v>
      </c>
      <c r="F51" s="2">
        <v>3</v>
      </c>
      <c r="G51" s="16">
        <v>24.84</v>
      </c>
      <c r="H51" s="16">
        <v>74.52</v>
      </c>
      <c r="I51" s="2" t="str">
        <f>TEXT(salesTable[[#This Row],[DATE]],"YYYY-MM")</f>
        <v>2024-07</v>
      </c>
      <c r="J51" s="16">
        <f>salesTable[[#This Row],[TOTAL SALES ($)]]/salesTable[[#This Row],[QUANTITY SOLD]]</f>
        <v>24.84</v>
      </c>
    </row>
    <row r="52" spans="2:10" ht="15" customHeight="1" x14ac:dyDescent="0.3">
      <c r="B52" s="5">
        <v>45503</v>
      </c>
      <c r="C52" s="2" t="s">
        <v>169</v>
      </c>
      <c r="D52" s="2" t="s">
        <v>135</v>
      </c>
      <c r="E52" s="2" t="s">
        <v>2</v>
      </c>
      <c r="F52" s="2">
        <v>18</v>
      </c>
      <c r="G52" s="16">
        <v>17.86</v>
      </c>
      <c r="H52" s="16">
        <v>321.48</v>
      </c>
      <c r="I52" s="2" t="str">
        <f>TEXT(salesTable[[#This Row],[DATE]],"YYYY-MM")</f>
        <v>2024-07</v>
      </c>
      <c r="J52" s="16">
        <f>salesTable[[#This Row],[TOTAL SALES ($)]]/salesTable[[#This Row],[QUANTITY SOLD]]</f>
        <v>17.86</v>
      </c>
    </row>
    <row r="53" spans="2:10" ht="15" customHeight="1" x14ac:dyDescent="0.3">
      <c r="B53" s="5">
        <v>45511</v>
      </c>
      <c r="C53" s="2" t="s">
        <v>87</v>
      </c>
      <c r="D53" s="2" t="s">
        <v>88</v>
      </c>
      <c r="E53" s="2" t="s">
        <v>2</v>
      </c>
      <c r="F53" s="2">
        <v>14</v>
      </c>
      <c r="G53" s="16">
        <v>36.99</v>
      </c>
      <c r="H53" s="16">
        <v>517.86</v>
      </c>
      <c r="I53" s="2" t="str">
        <f>TEXT(salesTable[[#This Row],[DATE]],"YYYY-MM")</f>
        <v>2024-08</v>
      </c>
      <c r="J53" s="16">
        <f>salesTable[[#This Row],[TOTAL SALES ($)]]/salesTable[[#This Row],[QUANTITY SOLD]]</f>
        <v>36.99</v>
      </c>
    </row>
    <row r="54" spans="2:10" ht="15" customHeight="1" x14ac:dyDescent="0.3">
      <c r="B54" s="5">
        <v>45515</v>
      </c>
      <c r="C54" s="2" t="s">
        <v>162</v>
      </c>
      <c r="D54" s="2" t="s">
        <v>140</v>
      </c>
      <c r="E54" s="2" t="s">
        <v>13</v>
      </c>
      <c r="F54" s="2">
        <v>11</v>
      </c>
      <c r="G54" s="16">
        <v>9.2899999999999991</v>
      </c>
      <c r="H54" s="16">
        <v>102.19</v>
      </c>
      <c r="I54" s="2" t="str">
        <f>TEXT(salesTable[[#This Row],[DATE]],"YYYY-MM")</f>
        <v>2024-08</v>
      </c>
      <c r="J54" s="16">
        <f>salesTable[[#This Row],[TOTAL SALES ($)]]/salesTable[[#This Row],[QUANTITY SOLD]]</f>
        <v>9.2899999999999991</v>
      </c>
    </row>
    <row r="55" spans="2:10" ht="15" customHeight="1" x14ac:dyDescent="0.3">
      <c r="B55" s="5">
        <v>45519</v>
      </c>
      <c r="C55" s="2" t="s">
        <v>36</v>
      </c>
      <c r="D55" s="2" t="s">
        <v>37</v>
      </c>
      <c r="E55" s="2" t="s">
        <v>2</v>
      </c>
      <c r="F55" s="2">
        <v>18</v>
      </c>
      <c r="G55" s="16">
        <v>97.14</v>
      </c>
      <c r="H55" s="16">
        <v>1748.52</v>
      </c>
      <c r="I55" s="2" t="str">
        <f>TEXT(salesTable[[#This Row],[DATE]],"YYYY-MM")</f>
        <v>2024-08</v>
      </c>
      <c r="J55" s="16">
        <f>salesTable[[#This Row],[TOTAL SALES ($)]]/salesTable[[#This Row],[QUANTITY SOLD]]</f>
        <v>97.14</v>
      </c>
    </row>
    <row r="56" spans="2:10" ht="15" customHeight="1" x14ac:dyDescent="0.3">
      <c r="B56" s="5">
        <v>45521</v>
      </c>
      <c r="C56" s="2" t="s">
        <v>150</v>
      </c>
      <c r="D56" s="2" t="s">
        <v>45</v>
      </c>
      <c r="E56" s="2" t="s">
        <v>2</v>
      </c>
      <c r="F56" s="2">
        <v>8</v>
      </c>
      <c r="G56" s="16">
        <v>29.45</v>
      </c>
      <c r="H56" s="16">
        <v>235.6</v>
      </c>
      <c r="I56" s="2" t="str">
        <f>TEXT(salesTable[[#This Row],[DATE]],"YYYY-MM")</f>
        <v>2024-08</v>
      </c>
      <c r="J56" s="16">
        <f>salesTable[[#This Row],[TOTAL SALES ($)]]/salesTable[[#This Row],[QUANTITY SOLD]]</f>
        <v>29.45</v>
      </c>
    </row>
    <row r="57" spans="2:10" ht="15" customHeight="1" x14ac:dyDescent="0.3">
      <c r="B57" s="5">
        <v>45526</v>
      </c>
      <c r="C57" s="2" t="s">
        <v>19</v>
      </c>
      <c r="D57" s="2" t="s">
        <v>20</v>
      </c>
      <c r="E57" s="2" t="s">
        <v>16</v>
      </c>
      <c r="F57" s="2">
        <v>19</v>
      </c>
      <c r="G57" s="16">
        <v>27.66</v>
      </c>
      <c r="H57" s="16">
        <v>525.54</v>
      </c>
      <c r="I57" s="2" t="str">
        <f>TEXT(salesTable[[#This Row],[DATE]],"YYYY-MM")</f>
        <v>2024-08</v>
      </c>
      <c r="J57" s="16">
        <f>salesTable[[#This Row],[TOTAL SALES ($)]]/salesTable[[#This Row],[QUANTITY SOLD]]</f>
        <v>27.659999999999997</v>
      </c>
    </row>
    <row r="58" spans="2:10" ht="15" customHeight="1" x14ac:dyDescent="0.3">
      <c r="B58" s="5">
        <v>45532</v>
      </c>
      <c r="C58" s="2" t="s">
        <v>81</v>
      </c>
      <c r="D58" s="2" t="s">
        <v>23</v>
      </c>
      <c r="E58" s="2" t="s">
        <v>10</v>
      </c>
      <c r="F58" s="2">
        <v>14</v>
      </c>
      <c r="G58" s="16">
        <v>89.39</v>
      </c>
      <c r="H58" s="16">
        <v>1251.46</v>
      </c>
      <c r="I58" s="2" t="str">
        <f>TEXT(salesTable[[#This Row],[DATE]],"YYYY-MM")</f>
        <v>2024-08</v>
      </c>
      <c r="J58" s="16">
        <f>salesTable[[#This Row],[TOTAL SALES ($)]]/salesTable[[#This Row],[QUANTITY SOLD]]</f>
        <v>89.39</v>
      </c>
    </row>
    <row r="59" spans="2:10" ht="15" customHeight="1" x14ac:dyDescent="0.3">
      <c r="B59" s="5">
        <v>45532</v>
      </c>
      <c r="C59" s="2" t="s">
        <v>11</v>
      </c>
      <c r="D59" s="2" t="s">
        <v>12</v>
      </c>
      <c r="E59" s="2" t="s">
        <v>13</v>
      </c>
      <c r="F59" s="2">
        <v>18</v>
      </c>
      <c r="G59" s="16">
        <v>6.88</v>
      </c>
      <c r="H59" s="16">
        <v>123.84</v>
      </c>
      <c r="I59" s="2" t="str">
        <f>TEXT(salesTable[[#This Row],[DATE]],"YYYY-MM")</f>
        <v>2024-08</v>
      </c>
      <c r="J59" s="16">
        <f>salesTable[[#This Row],[TOTAL SALES ($)]]/salesTable[[#This Row],[QUANTITY SOLD]]</f>
        <v>6.88</v>
      </c>
    </row>
    <row r="60" spans="2:10" ht="15" customHeight="1" x14ac:dyDescent="0.3">
      <c r="B60" s="5">
        <v>45534</v>
      </c>
      <c r="C60" s="2" t="s">
        <v>128</v>
      </c>
      <c r="D60" s="2" t="s">
        <v>129</v>
      </c>
      <c r="E60" s="2" t="s">
        <v>7</v>
      </c>
      <c r="F60" s="2">
        <v>7</v>
      </c>
      <c r="G60" s="16">
        <v>28.28</v>
      </c>
      <c r="H60" s="16">
        <v>197.96</v>
      </c>
      <c r="I60" s="2" t="str">
        <f>TEXT(salesTable[[#This Row],[DATE]],"YYYY-MM")</f>
        <v>2024-08</v>
      </c>
      <c r="J60" s="16">
        <f>salesTable[[#This Row],[TOTAL SALES ($)]]/salesTable[[#This Row],[QUANTITY SOLD]]</f>
        <v>28.28</v>
      </c>
    </row>
    <row r="61" spans="2:10" ht="15" customHeight="1" x14ac:dyDescent="0.3">
      <c r="B61" s="5">
        <v>45545</v>
      </c>
      <c r="C61" s="2" t="s">
        <v>108</v>
      </c>
      <c r="D61" s="2" t="s">
        <v>109</v>
      </c>
      <c r="E61" s="2" t="s">
        <v>2</v>
      </c>
      <c r="F61" s="2">
        <v>20</v>
      </c>
      <c r="G61" s="16">
        <v>85.76</v>
      </c>
      <c r="H61" s="16">
        <v>1715.2</v>
      </c>
      <c r="I61" s="2" t="str">
        <f>TEXT(salesTable[[#This Row],[DATE]],"YYYY-MM")</f>
        <v>2024-09</v>
      </c>
      <c r="J61" s="16">
        <f>salesTable[[#This Row],[TOTAL SALES ($)]]/salesTable[[#This Row],[QUANTITY SOLD]]</f>
        <v>85.76</v>
      </c>
    </row>
    <row r="62" spans="2:10" ht="15" customHeight="1" x14ac:dyDescent="0.3">
      <c r="B62" s="5">
        <v>45545</v>
      </c>
      <c r="C62" s="2" t="s">
        <v>158</v>
      </c>
      <c r="D62" s="2" t="s">
        <v>54</v>
      </c>
      <c r="E62" s="2" t="s">
        <v>7</v>
      </c>
      <c r="F62" s="2">
        <v>13</v>
      </c>
      <c r="G62" s="16">
        <v>47.12</v>
      </c>
      <c r="H62" s="16">
        <v>612.55999999999995</v>
      </c>
      <c r="I62" s="2" t="str">
        <f>TEXT(salesTable[[#This Row],[DATE]],"YYYY-MM")</f>
        <v>2024-09</v>
      </c>
      <c r="J62" s="16">
        <f>salesTable[[#This Row],[TOTAL SALES ($)]]/salesTable[[#This Row],[QUANTITY SOLD]]</f>
        <v>47.12</v>
      </c>
    </row>
    <row r="63" spans="2:10" ht="15" customHeight="1" x14ac:dyDescent="0.3">
      <c r="B63" s="5">
        <v>45545</v>
      </c>
      <c r="C63" s="2" t="s">
        <v>123</v>
      </c>
      <c r="D63" s="2" t="s">
        <v>124</v>
      </c>
      <c r="E63" s="2" t="s">
        <v>10</v>
      </c>
      <c r="F63" s="2">
        <v>12</v>
      </c>
      <c r="G63" s="16">
        <v>7.1</v>
      </c>
      <c r="H63" s="16">
        <v>85.2</v>
      </c>
      <c r="I63" s="2" t="str">
        <f>TEXT(salesTable[[#This Row],[DATE]],"YYYY-MM")</f>
        <v>2024-09</v>
      </c>
      <c r="J63" s="16">
        <f>salesTable[[#This Row],[TOTAL SALES ($)]]/salesTable[[#This Row],[QUANTITY SOLD]]</f>
        <v>7.1000000000000005</v>
      </c>
    </row>
    <row r="64" spans="2:10" ht="15" customHeight="1" x14ac:dyDescent="0.3">
      <c r="B64" s="5">
        <v>45546</v>
      </c>
      <c r="C64" s="2" t="s">
        <v>155</v>
      </c>
      <c r="D64" s="2" t="s">
        <v>23</v>
      </c>
      <c r="E64" s="2" t="s">
        <v>10</v>
      </c>
      <c r="F64" s="2">
        <v>8</v>
      </c>
      <c r="G64" s="16">
        <v>84.59</v>
      </c>
      <c r="H64" s="16">
        <v>676.72</v>
      </c>
      <c r="I64" s="2" t="str">
        <f>TEXT(salesTable[[#This Row],[DATE]],"YYYY-MM")</f>
        <v>2024-09</v>
      </c>
      <c r="J64" s="16">
        <f>salesTable[[#This Row],[TOTAL SALES ($)]]/salesTable[[#This Row],[QUANTITY SOLD]]</f>
        <v>84.59</v>
      </c>
    </row>
    <row r="65" spans="2:10" ht="15" customHeight="1" x14ac:dyDescent="0.3">
      <c r="B65" s="5">
        <v>45547</v>
      </c>
      <c r="C65" s="2" t="s">
        <v>85</v>
      </c>
      <c r="D65" s="2" t="s">
        <v>86</v>
      </c>
      <c r="E65" s="2" t="s">
        <v>7</v>
      </c>
      <c r="F65" s="2">
        <v>17</v>
      </c>
      <c r="G65" s="16">
        <v>41.06</v>
      </c>
      <c r="H65" s="16">
        <v>698.02</v>
      </c>
      <c r="I65" s="2" t="str">
        <f>TEXT(salesTable[[#This Row],[DATE]],"YYYY-MM")</f>
        <v>2024-09</v>
      </c>
      <c r="J65" s="16">
        <f>salesTable[[#This Row],[TOTAL SALES ($)]]/salesTable[[#This Row],[QUANTITY SOLD]]</f>
        <v>41.06</v>
      </c>
    </row>
    <row r="66" spans="2:10" ht="15" customHeight="1" x14ac:dyDescent="0.3">
      <c r="B66" s="5">
        <v>45550</v>
      </c>
      <c r="C66" s="2" t="s">
        <v>46</v>
      </c>
      <c r="D66" s="2" t="s">
        <v>47</v>
      </c>
      <c r="E66" s="2" t="s">
        <v>7</v>
      </c>
      <c r="F66" s="2">
        <v>13</v>
      </c>
      <c r="G66" s="16">
        <v>61.45</v>
      </c>
      <c r="H66" s="16">
        <v>798.85</v>
      </c>
      <c r="I66" s="2" t="str">
        <f>TEXT(salesTable[[#This Row],[DATE]],"YYYY-MM")</f>
        <v>2024-09</v>
      </c>
      <c r="J66" s="16">
        <f>salesTable[[#This Row],[TOTAL SALES ($)]]/salesTable[[#This Row],[QUANTITY SOLD]]</f>
        <v>61.45</v>
      </c>
    </row>
    <row r="67" spans="2:10" ht="15" customHeight="1" x14ac:dyDescent="0.3">
      <c r="B67" s="5">
        <v>45551</v>
      </c>
      <c r="C67" s="2" t="s">
        <v>21</v>
      </c>
      <c r="D67" s="2" t="s">
        <v>12</v>
      </c>
      <c r="E67" s="2" t="s">
        <v>16</v>
      </c>
      <c r="F67" s="2">
        <v>16</v>
      </c>
      <c r="G67" s="16">
        <v>80.42</v>
      </c>
      <c r="H67" s="16">
        <v>1286.72</v>
      </c>
      <c r="I67" s="2" t="str">
        <f>TEXT(salesTable[[#This Row],[DATE]],"YYYY-MM")</f>
        <v>2024-09</v>
      </c>
      <c r="J67" s="16">
        <f>salesTable[[#This Row],[TOTAL SALES ($)]]/salesTable[[#This Row],[QUANTITY SOLD]]</f>
        <v>80.42</v>
      </c>
    </row>
    <row r="68" spans="2:10" ht="15" customHeight="1" x14ac:dyDescent="0.3">
      <c r="B68" s="5">
        <v>45553</v>
      </c>
      <c r="C68" s="2" t="s">
        <v>104</v>
      </c>
      <c r="D68" s="2" t="s">
        <v>105</v>
      </c>
      <c r="E68" s="2" t="s">
        <v>10</v>
      </c>
      <c r="F68" s="2">
        <v>11</v>
      </c>
      <c r="G68" s="16">
        <v>97.6</v>
      </c>
      <c r="H68" s="16">
        <v>1073.5999999999999</v>
      </c>
      <c r="I68" s="2" t="str">
        <f>TEXT(salesTable[[#This Row],[DATE]],"YYYY-MM")</f>
        <v>2024-09</v>
      </c>
      <c r="J68" s="16">
        <f>salesTable[[#This Row],[TOTAL SALES ($)]]/salesTable[[#This Row],[QUANTITY SOLD]]</f>
        <v>97.6</v>
      </c>
    </row>
    <row r="69" spans="2:10" ht="15" customHeight="1" x14ac:dyDescent="0.3">
      <c r="B69" s="5">
        <v>45555</v>
      </c>
      <c r="C69" s="2" t="s">
        <v>139</v>
      </c>
      <c r="D69" s="2" t="s">
        <v>140</v>
      </c>
      <c r="E69" s="2" t="s">
        <v>10</v>
      </c>
      <c r="F69" s="2">
        <v>2</v>
      </c>
      <c r="G69" s="16">
        <v>64.260000000000005</v>
      </c>
      <c r="H69" s="16">
        <v>128.52000000000001</v>
      </c>
      <c r="I69" s="2" t="str">
        <f>TEXT(salesTable[[#This Row],[DATE]],"YYYY-MM")</f>
        <v>2024-09</v>
      </c>
      <c r="J69" s="16">
        <f>salesTable[[#This Row],[TOTAL SALES ($)]]/salesTable[[#This Row],[QUANTITY SOLD]]</f>
        <v>64.260000000000005</v>
      </c>
    </row>
    <row r="70" spans="2:10" ht="15" customHeight="1" x14ac:dyDescent="0.3">
      <c r="B70" s="5">
        <v>45555</v>
      </c>
      <c r="C70" s="2" t="s">
        <v>93</v>
      </c>
      <c r="D70" s="2" t="s">
        <v>94</v>
      </c>
      <c r="E70" s="2" t="s">
        <v>2</v>
      </c>
      <c r="F70" s="2">
        <v>7</v>
      </c>
      <c r="G70" s="16">
        <v>39.68</v>
      </c>
      <c r="H70" s="16">
        <v>277.76</v>
      </c>
      <c r="I70" s="2" t="str">
        <f>TEXT(salesTable[[#This Row],[DATE]],"YYYY-MM")</f>
        <v>2024-09</v>
      </c>
      <c r="J70" s="16">
        <f>salesTable[[#This Row],[TOTAL SALES ($)]]/salesTable[[#This Row],[QUANTITY SOLD]]</f>
        <v>39.68</v>
      </c>
    </row>
    <row r="71" spans="2:10" ht="15" customHeight="1" x14ac:dyDescent="0.3">
      <c r="B71" s="5">
        <v>45557</v>
      </c>
      <c r="C71" s="2" t="s">
        <v>160</v>
      </c>
      <c r="D71" s="2" t="s">
        <v>137</v>
      </c>
      <c r="E71" s="2" t="s">
        <v>16</v>
      </c>
      <c r="F71" s="2">
        <v>20</v>
      </c>
      <c r="G71" s="16">
        <v>91.05</v>
      </c>
      <c r="H71" s="16">
        <v>1821</v>
      </c>
      <c r="I71" s="2" t="str">
        <f>TEXT(salesTable[[#This Row],[DATE]],"YYYY-MM")</f>
        <v>2024-09</v>
      </c>
      <c r="J71" s="16">
        <f>salesTable[[#This Row],[TOTAL SALES ($)]]/salesTable[[#This Row],[QUANTITY SOLD]]</f>
        <v>91.05</v>
      </c>
    </row>
    <row r="72" spans="2:10" ht="15" customHeight="1" x14ac:dyDescent="0.3">
      <c r="B72" s="5">
        <v>45562</v>
      </c>
      <c r="C72" s="2" t="s">
        <v>164</v>
      </c>
      <c r="D72" s="2" t="s">
        <v>165</v>
      </c>
      <c r="E72" s="2" t="s">
        <v>10</v>
      </c>
      <c r="F72" s="2">
        <v>16</v>
      </c>
      <c r="G72" s="16">
        <v>54.34</v>
      </c>
      <c r="H72" s="16">
        <v>869.44</v>
      </c>
      <c r="I72" s="2" t="str">
        <f>TEXT(salesTable[[#This Row],[DATE]],"YYYY-MM")</f>
        <v>2024-09</v>
      </c>
      <c r="J72" s="16">
        <f>salesTable[[#This Row],[TOTAL SALES ($)]]/salesTable[[#This Row],[QUANTITY SOLD]]</f>
        <v>54.34</v>
      </c>
    </row>
    <row r="73" spans="2:10" ht="15" customHeight="1" x14ac:dyDescent="0.3">
      <c r="B73" s="5">
        <v>45565</v>
      </c>
      <c r="C73" s="2" t="s">
        <v>3</v>
      </c>
      <c r="D73" s="2" t="s">
        <v>4</v>
      </c>
      <c r="E73" s="2" t="s">
        <v>2</v>
      </c>
      <c r="F73" s="2">
        <v>2</v>
      </c>
      <c r="G73" s="16">
        <v>37.24</v>
      </c>
      <c r="H73" s="16">
        <v>74.48</v>
      </c>
      <c r="I73" s="2" t="str">
        <f>TEXT(salesTable[[#This Row],[DATE]],"YYYY-MM")</f>
        <v>2024-09</v>
      </c>
      <c r="J73" s="16">
        <f>salesTable[[#This Row],[TOTAL SALES ($)]]/salesTable[[#This Row],[QUANTITY SOLD]]</f>
        <v>37.24</v>
      </c>
    </row>
    <row r="74" spans="2:10" ht="15" customHeight="1" x14ac:dyDescent="0.3">
      <c r="B74" s="5">
        <v>45574</v>
      </c>
      <c r="C74" s="2" t="s">
        <v>83</v>
      </c>
      <c r="D74" s="2" t="s">
        <v>84</v>
      </c>
      <c r="E74" s="2" t="s">
        <v>13</v>
      </c>
      <c r="F74" s="2">
        <v>2</v>
      </c>
      <c r="G74" s="16">
        <v>18.510000000000002</v>
      </c>
      <c r="H74" s="16">
        <v>37.020000000000003</v>
      </c>
      <c r="I74" s="2" t="str">
        <f>TEXT(salesTable[[#This Row],[DATE]],"YYYY-MM")</f>
        <v>2024-10</v>
      </c>
      <c r="J74" s="16">
        <f>salesTable[[#This Row],[TOTAL SALES ($)]]/salesTable[[#This Row],[QUANTITY SOLD]]</f>
        <v>18.510000000000002</v>
      </c>
    </row>
    <row r="75" spans="2:10" ht="15" customHeight="1" x14ac:dyDescent="0.3">
      <c r="B75" s="5">
        <v>45575</v>
      </c>
      <c r="C75" s="2" t="s">
        <v>59</v>
      </c>
      <c r="D75" s="2" t="s">
        <v>31</v>
      </c>
      <c r="E75" s="2" t="s">
        <v>10</v>
      </c>
      <c r="F75" s="2">
        <v>9</v>
      </c>
      <c r="G75" s="16">
        <v>98.19</v>
      </c>
      <c r="H75" s="16">
        <v>883.71</v>
      </c>
      <c r="I75" s="2" t="str">
        <f>TEXT(salesTable[[#This Row],[DATE]],"YYYY-MM")</f>
        <v>2024-10</v>
      </c>
      <c r="J75" s="16">
        <f>salesTable[[#This Row],[TOTAL SALES ($)]]/salesTable[[#This Row],[QUANTITY SOLD]]</f>
        <v>98.19</v>
      </c>
    </row>
    <row r="76" spans="2:10" ht="15" customHeight="1" x14ac:dyDescent="0.3">
      <c r="B76" s="5">
        <v>45575</v>
      </c>
      <c r="C76" s="2" t="s">
        <v>145</v>
      </c>
      <c r="D76" s="2" t="s">
        <v>115</v>
      </c>
      <c r="E76" s="2" t="s">
        <v>7</v>
      </c>
      <c r="F76" s="2">
        <v>11</v>
      </c>
      <c r="G76" s="16">
        <v>55.04</v>
      </c>
      <c r="H76" s="16">
        <v>605.44000000000005</v>
      </c>
      <c r="I76" s="2" t="str">
        <f>TEXT(salesTable[[#This Row],[DATE]],"YYYY-MM")</f>
        <v>2024-10</v>
      </c>
      <c r="J76" s="16">
        <f>salesTable[[#This Row],[TOTAL SALES ($)]]/salesTable[[#This Row],[QUANTITY SOLD]]</f>
        <v>55.040000000000006</v>
      </c>
    </row>
    <row r="77" spans="2:10" ht="15" customHeight="1" x14ac:dyDescent="0.3">
      <c r="B77" s="5">
        <v>45579</v>
      </c>
      <c r="C77" s="2" t="s">
        <v>100</v>
      </c>
      <c r="D77" s="2" t="s">
        <v>101</v>
      </c>
      <c r="E77" s="2" t="s">
        <v>2</v>
      </c>
      <c r="F77" s="2">
        <v>17</v>
      </c>
      <c r="G77" s="16">
        <v>35.93</v>
      </c>
      <c r="H77" s="16">
        <v>610.80999999999995</v>
      </c>
      <c r="I77" s="2" t="str">
        <f>TEXT(salesTable[[#This Row],[DATE]],"YYYY-MM")</f>
        <v>2024-10</v>
      </c>
      <c r="J77" s="16">
        <f>salesTable[[#This Row],[TOTAL SALES ($)]]/salesTable[[#This Row],[QUANTITY SOLD]]</f>
        <v>35.93</v>
      </c>
    </row>
    <row r="78" spans="2:10" ht="15" customHeight="1" x14ac:dyDescent="0.3">
      <c r="B78" s="5">
        <v>45588</v>
      </c>
      <c r="C78" s="2" t="s">
        <v>66</v>
      </c>
      <c r="D78" s="2" t="s">
        <v>67</v>
      </c>
      <c r="E78" s="2" t="s">
        <v>16</v>
      </c>
      <c r="F78" s="2">
        <v>3</v>
      </c>
      <c r="G78" s="16">
        <v>98.16</v>
      </c>
      <c r="H78" s="16">
        <v>294.48</v>
      </c>
      <c r="I78" s="2" t="str">
        <f>TEXT(salesTable[[#This Row],[DATE]],"YYYY-MM")</f>
        <v>2024-10</v>
      </c>
      <c r="J78" s="16">
        <f>salesTable[[#This Row],[TOTAL SALES ($)]]/salesTable[[#This Row],[QUANTITY SOLD]]</f>
        <v>98.160000000000011</v>
      </c>
    </row>
    <row r="79" spans="2:10" ht="15" customHeight="1" x14ac:dyDescent="0.3">
      <c r="B79" s="5">
        <v>45588</v>
      </c>
      <c r="C79" s="2" t="s">
        <v>156</v>
      </c>
      <c r="D79" s="2" t="s">
        <v>137</v>
      </c>
      <c r="E79" s="2" t="s">
        <v>13</v>
      </c>
      <c r="F79" s="2">
        <v>14</v>
      </c>
      <c r="G79" s="16">
        <v>62.64</v>
      </c>
      <c r="H79" s="16">
        <v>876.96</v>
      </c>
      <c r="I79" s="2" t="str">
        <f>TEXT(salesTable[[#This Row],[DATE]],"YYYY-MM")</f>
        <v>2024-10</v>
      </c>
      <c r="J79" s="16">
        <f>salesTable[[#This Row],[TOTAL SALES ($)]]/salesTable[[#This Row],[QUANTITY SOLD]]</f>
        <v>62.64</v>
      </c>
    </row>
    <row r="80" spans="2:10" ht="15" customHeight="1" x14ac:dyDescent="0.3">
      <c r="B80" s="5">
        <v>45598</v>
      </c>
      <c r="C80" s="2" t="s">
        <v>143</v>
      </c>
      <c r="D80" s="2" t="s">
        <v>144</v>
      </c>
      <c r="E80" s="2" t="s">
        <v>10</v>
      </c>
      <c r="F80" s="2">
        <v>4</v>
      </c>
      <c r="G80" s="16">
        <v>9.39</v>
      </c>
      <c r="H80" s="16">
        <v>37.56</v>
      </c>
      <c r="I80" s="2" t="str">
        <f>TEXT(salesTable[[#This Row],[DATE]],"YYYY-MM")</f>
        <v>2024-11</v>
      </c>
      <c r="J80" s="16">
        <f>salesTable[[#This Row],[TOTAL SALES ($)]]/salesTable[[#This Row],[QUANTITY SOLD]]</f>
        <v>9.39</v>
      </c>
    </row>
    <row r="81" spans="2:10" ht="15" customHeight="1" x14ac:dyDescent="0.3">
      <c r="B81" s="5">
        <v>45610</v>
      </c>
      <c r="C81" s="2" t="s">
        <v>119</v>
      </c>
      <c r="D81" s="2" t="s">
        <v>80</v>
      </c>
      <c r="E81" s="2" t="s">
        <v>2</v>
      </c>
      <c r="F81" s="2">
        <v>12</v>
      </c>
      <c r="G81" s="16">
        <v>81.36</v>
      </c>
      <c r="H81" s="16">
        <v>976.32</v>
      </c>
      <c r="I81" s="2" t="str">
        <f>TEXT(salesTable[[#This Row],[DATE]],"YYYY-MM")</f>
        <v>2024-11</v>
      </c>
      <c r="J81" s="16">
        <f>salesTable[[#This Row],[TOTAL SALES ($)]]/salesTable[[#This Row],[QUANTITY SOLD]]</f>
        <v>81.36</v>
      </c>
    </row>
    <row r="82" spans="2:10" ht="15" customHeight="1" x14ac:dyDescent="0.3">
      <c r="B82" s="5">
        <v>45618</v>
      </c>
      <c r="C82" s="2" t="s">
        <v>69</v>
      </c>
      <c r="D82" s="2" t="s">
        <v>70</v>
      </c>
      <c r="E82" s="2" t="s">
        <v>7</v>
      </c>
      <c r="F82" s="2">
        <v>10</v>
      </c>
      <c r="G82" s="16">
        <v>93.82</v>
      </c>
      <c r="H82" s="16">
        <v>938.2</v>
      </c>
      <c r="I82" s="2" t="str">
        <f>TEXT(salesTable[[#This Row],[DATE]],"YYYY-MM")</f>
        <v>2024-11</v>
      </c>
      <c r="J82" s="16">
        <f>salesTable[[#This Row],[TOTAL SALES ($)]]/salesTable[[#This Row],[QUANTITY SOLD]]</f>
        <v>93.820000000000007</v>
      </c>
    </row>
    <row r="83" spans="2:10" ht="15" customHeight="1" x14ac:dyDescent="0.3">
      <c r="B83" s="5">
        <v>45618</v>
      </c>
      <c r="C83" s="2" t="s">
        <v>111</v>
      </c>
      <c r="D83" s="2" t="s">
        <v>37</v>
      </c>
      <c r="E83" s="2" t="s">
        <v>10</v>
      </c>
      <c r="F83" s="2">
        <v>15</v>
      </c>
      <c r="G83" s="16">
        <v>75.12</v>
      </c>
      <c r="H83" s="16">
        <v>1126.8</v>
      </c>
      <c r="I83" s="2" t="str">
        <f>TEXT(salesTable[[#This Row],[DATE]],"YYYY-MM")</f>
        <v>2024-11</v>
      </c>
      <c r="J83" s="16">
        <f>salesTable[[#This Row],[TOTAL SALES ($)]]/salesTable[[#This Row],[QUANTITY SOLD]]</f>
        <v>75.11999999999999</v>
      </c>
    </row>
    <row r="84" spans="2:10" ht="15" customHeight="1" x14ac:dyDescent="0.3">
      <c r="B84" s="5">
        <v>45623</v>
      </c>
      <c r="C84" s="2" t="s">
        <v>130</v>
      </c>
      <c r="D84" s="2" t="s">
        <v>131</v>
      </c>
      <c r="E84" s="2" t="s">
        <v>7</v>
      </c>
      <c r="F84" s="2">
        <v>9</v>
      </c>
      <c r="G84" s="16">
        <v>74.78</v>
      </c>
      <c r="H84" s="16">
        <v>673.02</v>
      </c>
      <c r="I84" s="2" t="str">
        <f>TEXT(salesTable[[#This Row],[DATE]],"YYYY-MM")</f>
        <v>2024-11</v>
      </c>
      <c r="J84" s="16">
        <f>salesTable[[#This Row],[TOTAL SALES ($)]]/salesTable[[#This Row],[QUANTITY SOLD]]</f>
        <v>74.78</v>
      </c>
    </row>
    <row r="85" spans="2:10" ht="15" customHeight="1" x14ac:dyDescent="0.3">
      <c r="B85" s="5">
        <v>45624</v>
      </c>
      <c r="C85" s="2" t="s">
        <v>161</v>
      </c>
      <c r="D85" s="2" t="s">
        <v>35</v>
      </c>
      <c r="E85" s="2" t="s">
        <v>7</v>
      </c>
      <c r="F85" s="2">
        <v>10</v>
      </c>
      <c r="G85" s="16">
        <v>25.95</v>
      </c>
      <c r="H85" s="16">
        <v>259.5</v>
      </c>
      <c r="I85" s="2" t="str">
        <f>TEXT(salesTable[[#This Row],[DATE]],"YYYY-MM")</f>
        <v>2024-11</v>
      </c>
      <c r="J85" s="16">
        <f>salesTable[[#This Row],[TOTAL SALES ($)]]/salesTable[[#This Row],[QUANTITY SOLD]]</f>
        <v>25.95</v>
      </c>
    </row>
    <row r="86" spans="2:10" ht="15" customHeight="1" x14ac:dyDescent="0.3">
      <c r="B86" s="5">
        <v>45625</v>
      </c>
      <c r="C86" s="2" t="s">
        <v>97</v>
      </c>
      <c r="D86" s="2" t="s">
        <v>94</v>
      </c>
      <c r="E86" s="2" t="s">
        <v>2</v>
      </c>
      <c r="F86" s="2">
        <v>3</v>
      </c>
      <c r="G86" s="16">
        <v>21.42</v>
      </c>
      <c r="H86" s="16">
        <v>64.260000000000005</v>
      </c>
      <c r="I86" s="2" t="str">
        <f>TEXT(salesTable[[#This Row],[DATE]],"YYYY-MM")</f>
        <v>2024-11</v>
      </c>
      <c r="J86" s="16">
        <f>salesTable[[#This Row],[TOTAL SALES ($)]]/salesTable[[#This Row],[QUANTITY SOLD]]</f>
        <v>21.42</v>
      </c>
    </row>
    <row r="87" spans="2:10" ht="15" customHeight="1" x14ac:dyDescent="0.3">
      <c r="B87" s="5">
        <v>45634</v>
      </c>
      <c r="C87" s="2" t="s">
        <v>132</v>
      </c>
      <c r="D87" s="2" t="s">
        <v>133</v>
      </c>
      <c r="E87" s="2" t="s">
        <v>13</v>
      </c>
      <c r="F87" s="2">
        <v>8</v>
      </c>
      <c r="G87" s="16">
        <v>6.4</v>
      </c>
      <c r="H87" s="16">
        <v>51.2</v>
      </c>
      <c r="I87" s="2" t="str">
        <f>TEXT(salesTable[[#This Row],[DATE]],"YYYY-MM")</f>
        <v>2024-12</v>
      </c>
      <c r="J87" s="16">
        <f>salesTable[[#This Row],[TOTAL SALES ($)]]/salesTable[[#This Row],[QUANTITY SOLD]]</f>
        <v>6.4</v>
      </c>
    </row>
    <row r="88" spans="2:10" ht="15" customHeight="1" x14ac:dyDescent="0.3">
      <c r="B88" s="5">
        <v>45636</v>
      </c>
      <c r="C88" s="2" t="s">
        <v>95</v>
      </c>
      <c r="D88" s="2" t="s">
        <v>96</v>
      </c>
      <c r="E88" s="2" t="s">
        <v>16</v>
      </c>
      <c r="F88" s="2">
        <v>19</v>
      </c>
      <c r="G88" s="16">
        <v>45.46</v>
      </c>
      <c r="H88" s="16">
        <v>863.74</v>
      </c>
      <c r="I88" s="2" t="str">
        <f>TEXT(salesTable[[#This Row],[DATE]],"YYYY-MM")</f>
        <v>2024-12</v>
      </c>
      <c r="J88" s="16">
        <f>salesTable[[#This Row],[TOTAL SALES ($)]]/salesTable[[#This Row],[QUANTITY SOLD]]</f>
        <v>45.46</v>
      </c>
    </row>
    <row r="89" spans="2:10" ht="15" customHeight="1" x14ac:dyDescent="0.3">
      <c r="B89" s="5">
        <v>45638</v>
      </c>
      <c r="C89" s="2" t="s">
        <v>118</v>
      </c>
      <c r="D89" s="2" t="s">
        <v>73</v>
      </c>
      <c r="E89" s="2" t="s">
        <v>10</v>
      </c>
      <c r="F89" s="2">
        <v>8</v>
      </c>
      <c r="G89" s="16">
        <v>77.37</v>
      </c>
      <c r="H89" s="16">
        <v>618.96</v>
      </c>
      <c r="I89" s="2" t="str">
        <f>TEXT(salesTable[[#This Row],[DATE]],"YYYY-MM")</f>
        <v>2024-12</v>
      </c>
      <c r="J89" s="16">
        <f>salesTable[[#This Row],[TOTAL SALES ($)]]/salesTable[[#This Row],[QUANTITY SOLD]]</f>
        <v>77.37</v>
      </c>
    </row>
    <row r="90" spans="2:10" ht="15" customHeight="1" x14ac:dyDescent="0.3">
      <c r="B90" s="5">
        <v>45642</v>
      </c>
      <c r="C90" s="2" t="s">
        <v>141</v>
      </c>
      <c r="D90" s="2" t="s">
        <v>142</v>
      </c>
      <c r="E90" s="2" t="s">
        <v>13</v>
      </c>
      <c r="F90" s="2">
        <v>20</v>
      </c>
      <c r="G90" s="16">
        <v>69.290000000000006</v>
      </c>
      <c r="H90" s="16">
        <v>1385.8</v>
      </c>
      <c r="I90" s="2" t="str">
        <f>TEXT(salesTable[[#This Row],[DATE]],"YYYY-MM")</f>
        <v>2024-12</v>
      </c>
      <c r="J90" s="16">
        <f>salesTable[[#This Row],[TOTAL SALES ($)]]/salesTable[[#This Row],[QUANTITY SOLD]]</f>
        <v>69.289999999999992</v>
      </c>
    </row>
    <row r="91" spans="2:10" ht="15" customHeight="1" x14ac:dyDescent="0.3">
      <c r="B91" s="5">
        <v>45643</v>
      </c>
      <c r="C91" s="2" t="s">
        <v>42</v>
      </c>
      <c r="D91" s="2" t="s">
        <v>43</v>
      </c>
      <c r="E91" s="2" t="s">
        <v>2</v>
      </c>
      <c r="F91" s="2">
        <v>19</v>
      </c>
      <c r="G91" s="16">
        <v>98.73</v>
      </c>
      <c r="H91" s="16">
        <v>1875.87</v>
      </c>
      <c r="I91" s="2" t="str">
        <f>TEXT(salesTable[[#This Row],[DATE]],"YYYY-MM")</f>
        <v>2024-12</v>
      </c>
      <c r="J91" s="16">
        <f>salesTable[[#This Row],[TOTAL SALES ($)]]/salesTable[[#This Row],[QUANTITY SOLD]]</f>
        <v>98.72999999999999</v>
      </c>
    </row>
    <row r="92" spans="2:10" ht="15" customHeight="1" x14ac:dyDescent="0.3">
      <c r="B92" s="5">
        <v>45644</v>
      </c>
      <c r="C92" s="2" t="s">
        <v>91</v>
      </c>
      <c r="D92" s="2" t="s">
        <v>92</v>
      </c>
      <c r="E92" s="2" t="s">
        <v>16</v>
      </c>
      <c r="F92" s="2">
        <v>18</v>
      </c>
      <c r="G92" s="16">
        <v>8.0500000000000007</v>
      </c>
      <c r="H92" s="16">
        <v>144.9</v>
      </c>
      <c r="I92" s="2" t="str">
        <f>TEXT(salesTable[[#This Row],[DATE]],"YYYY-MM")</f>
        <v>2024-12</v>
      </c>
      <c r="J92" s="16">
        <f>salesTable[[#This Row],[TOTAL SALES ($)]]/salesTable[[#This Row],[QUANTITY SOLD]]</f>
        <v>8.0500000000000007</v>
      </c>
    </row>
    <row r="93" spans="2:10" ht="15" customHeight="1" x14ac:dyDescent="0.3">
      <c r="B93" s="5">
        <v>45646</v>
      </c>
      <c r="C93" s="2" t="s">
        <v>38</v>
      </c>
      <c r="D93" s="2" t="s">
        <v>39</v>
      </c>
      <c r="E93" s="2" t="s">
        <v>10</v>
      </c>
      <c r="F93" s="2">
        <v>5</v>
      </c>
      <c r="G93" s="16">
        <v>50.26</v>
      </c>
      <c r="H93" s="16">
        <v>251.3</v>
      </c>
      <c r="I93" s="2" t="str">
        <f>TEXT(salesTable[[#This Row],[DATE]],"YYYY-MM")</f>
        <v>2024-12</v>
      </c>
      <c r="J93" s="16">
        <f>salesTable[[#This Row],[TOTAL SALES ($)]]/salesTable[[#This Row],[QUANTITY SOLD]]</f>
        <v>50.260000000000005</v>
      </c>
    </row>
    <row r="94" spans="2:10" ht="15" customHeight="1" x14ac:dyDescent="0.3">
      <c r="B94" s="5">
        <v>45648</v>
      </c>
      <c r="C94" s="2" t="s">
        <v>72</v>
      </c>
      <c r="D94" s="2" t="s">
        <v>73</v>
      </c>
      <c r="E94" s="2" t="s">
        <v>13</v>
      </c>
      <c r="F94" s="2">
        <v>12</v>
      </c>
      <c r="G94" s="16">
        <v>68</v>
      </c>
      <c r="H94" s="16">
        <v>816</v>
      </c>
      <c r="I94" s="2" t="str">
        <f>TEXT(salesTable[[#This Row],[DATE]],"YYYY-MM")</f>
        <v>2024-12</v>
      </c>
      <c r="J94" s="16">
        <f>salesTable[[#This Row],[TOTAL SALES ($)]]/salesTable[[#This Row],[QUANTITY SOLD]]</f>
        <v>68</v>
      </c>
    </row>
    <row r="95" spans="2:10" ht="15" customHeight="1" x14ac:dyDescent="0.3">
      <c r="B95" s="5">
        <v>45648</v>
      </c>
      <c r="C95" s="2" t="s">
        <v>17</v>
      </c>
      <c r="D95" s="2" t="s">
        <v>18</v>
      </c>
      <c r="E95" s="2" t="s">
        <v>2</v>
      </c>
      <c r="F95" s="2">
        <v>6</v>
      </c>
      <c r="G95" s="16">
        <v>41.03</v>
      </c>
      <c r="H95" s="16">
        <v>246.18</v>
      </c>
      <c r="I95" s="2" t="str">
        <f>TEXT(salesTable[[#This Row],[DATE]],"YYYY-MM")</f>
        <v>2024-12</v>
      </c>
      <c r="J95" s="16">
        <f>salesTable[[#This Row],[TOTAL SALES ($)]]/salesTable[[#This Row],[QUANTITY SOLD]]</f>
        <v>41.03</v>
      </c>
    </row>
    <row r="96" spans="2:10" ht="15" customHeight="1" x14ac:dyDescent="0.3">
      <c r="B96" s="5">
        <v>45652</v>
      </c>
      <c r="C96" s="2" t="s">
        <v>71</v>
      </c>
      <c r="D96" s="2" t="s">
        <v>35</v>
      </c>
      <c r="E96" s="2" t="s">
        <v>7</v>
      </c>
      <c r="F96" s="2">
        <v>20</v>
      </c>
      <c r="G96" s="16">
        <v>87.21</v>
      </c>
      <c r="H96" s="16">
        <v>1744.2</v>
      </c>
      <c r="I96" s="2" t="str">
        <f>TEXT(salesTable[[#This Row],[DATE]],"YYYY-MM")</f>
        <v>2024-12</v>
      </c>
      <c r="J96" s="16">
        <f>salesTable[[#This Row],[TOTAL SALES ($)]]/salesTable[[#This Row],[QUANTITY SOLD]]</f>
        <v>87.210000000000008</v>
      </c>
    </row>
    <row r="97" spans="2:10" ht="15" customHeight="1" x14ac:dyDescent="0.3">
      <c r="B97" s="5">
        <v>45652</v>
      </c>
      <c r="C97" s="2" t="s">
        <v>64</v>
      </c>
      <c r="D97" s="2" t="s">
        <v>65</v>
      </c>
      <c r="E97" s="2" t="s">
        <v>13</v>
      </c>
      <c r="F97" s="2">
        <v>18</v>
      </c>
      <c r="G97" s="16">
        <v>86.89</v>
      </c>
      <c r="H97" s="16">
        <v>1564.02</v>
      </c>
      <c r="I97" s="2" t="str">
        <f>TEXT(salesTable[[#This Row],[DATE]],"YYYY-MM")</f>
        <v>2024-12</v>
      </c>
      <c r="J97" s="16">
        <f>salesTable[[#This Row],[TOTAL SALES ($)]]/salesTable[[#This Row],[QUANTITY SOLD]]</f>
        <v>86.89</v>
      </c>
    </row>
    <row r="98" spans="2:10" ht="15" customHeight="1" x14ac:dyDescent="0.3">
      <c r="B98" s="5">
        <v>45653</v>
      </c>
      <c r="C98" s="2" t="s">
        <v>110</v>
      </c>
      <c r="D98" s="2" t="s">
        <v>23</v>
      </c>
      <c r="E98" s="2" t="s">
        <v>16</v>
      </c>
      <c r="F98" s="2">
        <v>2</v>
      </c>
      <c r="G98" s="16">
        <v>50.33</v>
      </c>
      <c r="H98" s="16">
        <v>100.66</v>
      </c>
      <c r="I98" s="2" t="str">
        <f>TEXT(salesTable[[#This Row],[DATE]],"YYYY-MM")</f>
        <v>2024-12</v>
      </c>
      <c r="J98" s="16">
        <f>salesTable[[#This Row],[TOTAL SALES ($)]]/salesTable[[#This Row],[QUANTITY SOLD]]</f>
        <v>50.33</v>
      </c>
    </row>
    <row r="99" spans="2:10" ht="15" customHeight="1" x14ac:dyDescent="0.3">
      <c r="B99" s="5">
        <v>45655</v>
      </c>
      <c r="C99" s="2" t="s">
        <v>44</v>
      </c>
      <c r="D99" s="2" t="s">
        <v>45</v>
      </c>
      <c r="E99" s="2" t="s">
        <v>13</v>
      </c>
      <c r="F99" s="2">
        <v>5</v>
      </c>
      <c r="G99" s="16">
        <v>88.68</v>
      </c>
      <c r="H99" s="16">
        <v>443.4</v>
      </c>
      <c r="I99" s="2" t="str">
        <f>TEXT(salesTable[[#This Row],[DATE]],"YYYY-MM")</f>
        <v>2024-12</v>
      </c>
      <c r="J99" s="16">
        <f>salesTable[[#This Row],[TOTAL SALES ($)]]/salesTable[[#This Row],[QUANTITY SOLD]]</f>
        <v>88.679999999999993</v>
      </c>
    </row>
    <row r="100" spans="2:10" ht="15" customHeight="1" x14ac:dyDescent="0.3">
      <c r="B100" s="5">
        <v>45657</v>
      </c>
      <c r="C100" s="2" t="s">
        <v>114</v>
      </c>
      <c r="D100" s="2" t="s">
        <v>115</v>
      </c>
      <c r="E100" s="2" t="s">
        <v>10</v>
      </c>
      <c r="F100" s="2">
        <v>1</v>
      </c>
      <c r="G100" s="16">
        <v>82.77</v>
      </c>
      <c r="H100" s="16">
        <v>82.77</v>
      </c>
      <c r="I100" s="2" t="str">
        <f>TEXT(salesTable[[#This Row],[DATE]],"YYYY-MM")</f>
        <v>2024-12</v>
      </c>
      <c r="J100" s="16">
        <f>salesTable[[#This Row],[TOTAL SALES ($)]]/salesTable[[#This Row],[QUANTITY SOLD]]</f>
        <v>82.77</v>
      </c>
    </row>
    <row r="101" spans="2:10" ht="15" customHeight="1" x14ac:dyDescent="0.3"/>
    <row r="102" spans="2:10" ht="15" customHeight="1" x14ac:dyDescent="0.3"/>
    <row r="103" spans="2:10" ht="15" customHeight="1" x14ac:dyDescent="0.3"/>
    <row r="104" spans="2:10" ht="15" customHeight="1" x14ac:dyDescent="0.3"/>
    <row r="105" spans="2:10" ht="15" customHeight="1" x14ac:dyDescent="0.3"/>
  </sheetData>
  <mergeCells count="1">
    <mergeCell ref="B3:H3"/>
  </mergeCells>
  <pageMargins left="0.7" right="0.7" top="0.75" bottom="0.75" header="0.3" footer="0.3"/>
  <pageSetup paperSize="256" orientation="portrait" horizontalDpi="203" verticalDpi="203"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4CC65-E429-479A-9166-0501B6450ACC}">
  <sheetPr codeName="Sheet5"/>
  <dimension ref="A1:X12"/>
  <sheetViews>
    <sheetView showGridLines="0" showRowColHeaders="0" tabSelected="1" zoomScale="55" zoomScaleNormal="55" workbookViewId="0">
      <selection activeCell="X32" sqref="X32"/>
    </sheetView>
  </sheetViews>
  <sheetFormatPr defaultRowHeight="14.4" x14ac:dyDescent="0.3"/>
  <cols>
    <col min="1" max="1" width="8.88671875" style="17"/>
    <col min="2" max="2" width="5.77734375" style="17" customWidth="1"/>
    <col min="3" max="5" width="10.77734375" style="11" customWidth="1"/>
    <col min="6" max="6" width="40.77734375" style="31" customWidth="1"/>
    <col min="7" max="12" width="10.77734375" style="11" customWidth="1"/>
    <col min="13" max="13" width="30.77734375" style="11" customWidth="1"/>
    <col min="14" max="17" width="10.77734375" style="11" customWidth="1"/>
    <col min="18" max="18" width="30.77734375" style="11" customWidth="1"/>
    <col min="19" max="19" width="19.109375" style="11" bestFit="1" customWidth="1"/>
    <col min="20" max="16384" width="8.88671875" style="11"/>
  </cols>
  <sheetData>
    <row r="1" spans="1:24" s="17" customFormat="1" x14ac:dyDescent="0.3">
      <c r="F1" s="28"/>
    </row>
    <row r="2" spans="1:24" s="17" customFormat="1" x14ac:dyDescent="0.3">
      <c r="F2" s="28"/>
    </row>
    <row r="3" spans="1:24" s="18" customFormat="1" x14ac:dyDescent="0.3">
      <c r="C3" s="18" t="s">
        <v>196</v>
      </c>
      <c r="F3" s="29"/>
      <c r="G3" s="17"/>
      <c r="Q3" s="17"/>
      <c r="R3" s="17"/>
      <c r="T3" s="22"/>
      <c r="X3" s="18" t="s">
        <v>196</v>
      </c>
    </row>
    <row r="4" spans="1:24" s="17" customFormat="1" ht="27.6" x14ac:dyDescent="0.65">
      <c r="C4" s="26" t="s">
        <v>221</v>
      </c>
      <c r="F4" s="30"/>
      <c r="G4" s="26" t="s">
        <v>220</v>
      </c>
      <c r="K4" s="19"/>
      <c r="N4" s="26" t="s">
        <v>222</v>
      </c>
      <c r="Q4" s="20"/>
      <c r="R4" s="20"/>
      <c r="S4" s="23"/>
    </row>
    <row r="5" spans="1:24" s="17" customFormat="1" ht="27.6" x14ac:dyDescent="0.65">
      <c r="A5" s="18"/>
      <c r="B5" s="21"/>
      <c r="C5" s="24"/>
      <c r="F5" s="27">
        <f>SUM(PivotTable!D2:D3)</f>
        <v>60080.719999999994</v>
      </c>
      <c r="G5" s="32"/>
      <c r="M5" s="33">
        <f>SUM(PivotTable!Y2:Y101)/COUNTA(PivotTable!X2:X101)</f>
        <v>606.87595959595944</v>
      </c>
      <c r="N5" s="24"/>
      <c r="R5" s="25">
        <f>AVERAGE(PivotTable!Z2:Z100)</f>
        <v>53.713030303030322</v>
      </c>
      <c r="S5" s="24"/>
    </row>
    <row r="6" spans="1:24" x14ac:dyDescent="0.3">
      <c r="D6" s="13"/>
      <c r="E6" s="13"/>
    </row>
    <row r="7" spans="1:24" x14ac:dyDescent="0.3">
      <c r="D7" s="13"/>
      <c r="E7" s="13"/>
    </row>
    <row r="8" spans="1:24" x14ac:dyDescent="0.3">
      <c r="D8" s="13"/>
      <c r="E8" s="13"/>
    </row>
    <row r="9" spans="1:24" x14ac:dyDescent="0.3">
      <c r="D9" s="13"/>
    </row>
    <row r="10" spans="1:24" x14ac:dyDescent="0.3">
      <c r="D10" s="13"/>
      <c r="E10" s="13"/>
    </row>
    <row r="11" spans="1:24" x14ac:dyDescent="0.3">
      <c r="D11" s="13"/>
      <c r="E11" s="13"/>
    </row>
    <row r="12" spans="1:24" x14ac:dyDescent="0.3">
      <c r="D12" s="13"/>
      <c r="E12" s="13"/>
    </row>
  </sheetData>
  <phoneticPr fontId="3" type="noConversion"/>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6FF36-1FBB-48ED-875E-6EB39753D7DD}">
  <sheetPr codeName="Sheet6"/>
  <dimension ref="A1:Z100"/>
  <sheetViews>
    <sheetView topLeftCell="O1" workbookViewId="0">
      <selection activeCell="U17" sqref="U17"/>
    </sheetView>
  </sheetViews>
  <sheetFormatPr defaultRowHeight="14.4" x14ac:dyDescent="0.3"/>
  <cols>
    <col min="1" max="1" width="12.44140625" bestFit="1" customWidth="1"/>
    <col min="2" max="2" width="20.5546875" bestFit="1" customWidth="1"/>
    <col min="3" max="3" width="12.44140625" bestFit="1" customWidth="1"/>
    <col min="4" max="4" width="20.5546875" bestFit="1" customWidth="1"/>
    <col min="5" max="5" width="12.44140625" bestFit="1" customWidth="1"/>
    <col min="6" max="6" width="20.5546875" bestFit="1" customWidth="1"/>
    <col min="7" max="8" width="12.44140625" bestFit="1" customWidth="1"/>
    <col min="9" max="9" width="20.77734375" bestFit="1" customWidth="1"/>
    <col min="10" max="10" width="12.44140625" bestFit="1" customWidth="1"/>
    <col min="11" max="11" width="20.44140625" bestFit="1" customWidth="1"/>
    <col min="12" max="12" width="12.44140625" bestFit="1" customWidth="1"/>
    <col min="13" max="13" width="20.5546875" bestFit="1" customWidth="1"/>
    <col min="14" max="14" width="12.44140625" bestFit="1" customWidth="1"/>
    <col min="15" max="15" width="20.5546875" bestFit="1" customWidth="1"/>
    <col min="16" max="16" width="12.44140625" bestFit="1" customWidth="1"/>
    <col min="17" max="17" width="20.5546875" bestFit="1" customWidth="1"/>
    <col min="18" max="18" width="12.44140625" bestFit="1" customWidth="1"/>
    <col min="19" max="19" width="24.44140625" bestFit="1" customWidth="1"/>
    <col min="20" max="20" width="12.44140625" bestFit="1" customWidth="1"/>
    <col min="21" max="21" width="20.5546875" bestFit="1" customWidth="1"/>
    <col min="22" max="22" width="12.44140625" bestFit="1" customWidth="1"/>
    <col min="23" max="23" width="20.44140625" bestFit="1" customWidth="1"/>
    <col min="24" max="24" width="12.44140625" bestFit="1" customWidth="1"/>
    <col min="25" max="25" width="20.5546875" bestFit="1" customWidth="1"/>
    <col min="26" max="26" width="19.21875" bestFit="1" customWidth="1"/>
  </cols>
  <sheetData>
    <row r="1" spans="1:26" x14ac:dyDescent="0.3">
      <c r="A1" s="7" t="s">
        <v>186</v>
      </c>
      <c r="B1" t="s">
        <v>191</v>
      </c>
      <c r="C1" s="7" t="s">
        <v>186</v>
      </c>
      <c r="D1" t="s">
        <v>191</v>
      </c>
      <c r="E1" t="s">
        <v>194</v>
      </c>
      <c r="F1" t="s">
        <v>195</v>
      </c>
      <c r="G1" s="7" t="s">
        <v>186</v>
      </c>
      <c r="H1" t="s">
        <v>197</v>
      </c>
      <c r="I1" t="s">
        <v>198</v>
      </c>
      <c r="J1" s="7" t="s">
        <v>186</v>
      </c>
      <c r="K1" t="s">
        <v>200</v>
      </c>
      <c r="L1" s="7" t="s">
        <v>186</v>
      </c>
      <c r="M1" t="s">
        <v>191</v>
      </c>
      <c r="N1" s="7" t="s">
        <v>186</v>
      </c>
      <c r="O1" t="s">
        <v>191</v>
      </c>
      <c r="P1" s="7" t="s">
        <v>186</v>
      </c>
      <c r="Q1" t="s">
        <v>191</v>
      </c>
      <c r="R1" s="7" t="s">
        <v>186</v>
      </c>
      <c r="S1" t="s">
        <v>199</v>
      </c>
      <c r="T1" s="7" t="s">
        <v>186</v>
      </c>
      <c r="U1" t="s">
        <v>191</v>
      </c>
      <c r="V1" s="7" t="s">
        <v>186</v>
      </c>
      <c r="W1" t="s">
        <v>200</v>
      </c>
      <c r="X1" s="7" t="s">
        <v>186</v>
      </c>
      <c r="Y1" t="s">
        <v>191</v>
      </c>
      <c r="Z1" t="s">
        <v>223</v>
      </c>
    </row>
    <row r="2" spans="1:26" x14ac:dyDescent="0.3">
      <c r="A2" s="8" t="s">
        <v>207</v>
      </c>
      <c r="B2" s="14">
        <v>102</v>
      </c>
      <c r="C2" s="8" t="s">
        <v>192</v>
      </c>
      <c r="D2">
        <v>57642.479999999996</v>
      </c>
      <c r="E2" t="str">
        <f>'Designed Data'!D6</f>
        <v>Item 93</v>
      </c>
      <c r="F2">
        <f>COUNTIF(salesTable[ITEM NAME],PivotTable!E2)</f>
        <v>1</v>
      </c>
      <c r="G2" s="8" t="s">
        <v>13</v>
      </c>
      <c r="H2" s="12">
        <v>11459.32</v>
      </c>
      <c r="I2">
        <v>205</v>
      </c>
      <c r="J2" s="8" t="s">
        <v>13</v>
      </c>
      <c r="K2">
        <v>205</v>
      </c>
      <c r="L2" s="8" t="s">
        <v>13</v>
      </c>
      <c r="M2" s="14">
        <v>11459.32</v>
      </c>
      <c r="N2" s="8" t="s">
        <v>73</v>
      </c>
      <c r="O2" s="14">
        <v>2616.91</v>
      </c>
      <c r="P2" s="8" t="s">
        <v>133</v>
      </c>
      <c r="Q2" s="14">
        <v>51.2</v>
      </c>
      <c r="R2" s="8" t="s">
        <v>23</v>
      </c>
      <c r="S2" s="14">
        <v>327.51</v>
      </c>
      <c r="T2" s="8" t="s">
        <v>13</v>
      </c>
      <c r="U2" s="10">
        <v>0.19073206845723553</v>
      </c>
      <c r="V2" s="8" t="s">
        <v>207</v>
      </c>
      <c r="W2">
        <v>4</v>
      </c>
      <c r="X2" s="8" t="s">
        <v>42</v>
      </c>
      <c r="Y2" s="14">
        <v>1875.87</v>
      </c>
      <c r="Z2" s="14">
        <v>98.73</v>
      </c>
    </row>
    <row r="3" spans="1:26" x14ac:dyDescent="0.3">
      <c r="A3" s="8" t="s">
        <v>208</v>
      </c>
      <c r="B3" s="14">
        <v>5855.8899999999994</v>
      </c>
      <c r="C3" s="8" t="s">
        <v>211</v>
      </c>
      <c r="D3">
        <v>2438.2400000000002</v>
      </c>
      <c r="E3" t="str">
        <f>'Designed Data'!D7</f>
        <v>Item 10</v>
      </c>
      <c r="F3">
        <f>COUNTIF(salesTable[ITEM NAME],PivotTable!E3)</f>
        <v>5</v>
      </c>
      <c r="G3" s="8" t="s">
        <v>2</v>
      </c>
      <c r="H3" s="12">
        <v>13255.029999999999</v>
      </c>
      <c r="I3">
        <v>247</v>
      </c>
      <c r="J3" s="8" t="s">
        <v>2</v>
      </c>
      <c r="K3">
        <v>247</v>
      </c>
      <c r="L3" s="8" t="s">
        <v>2</v>
      </c>
      <c r="M3" s="14">
        <v>13255.029999999999</v>
      </c>
      <c r="N3" s="8" t="s">
        <v>137</v>
      </c>
      <c r="O3" s="14">
        <v>2878.1400000000003</v>
      </c>
      <c r="P3" s="8" t="s">
        <v>144</v>
      </c>
      <c r="Q3" s="14">
        <v>37.56</v>
      </c>
      <c r="R3" s="8" t="s">
        <v>73</v>
      </c>
      <c r="S3" s="14">
        <v>277.23</v>
      </c>
      <c r="T3" s="8" t="s">
        <v>2</v>
      </c>
      <c r="U3" s="10">
        <v>0.22062035874403632</v>
      </c>
      <c r="V3" s="8" t="s">
        <v>208</v>
      </c>
      <c r="W3">
        <v>99</v>
      </c>
      <c r="X3" s="8" t="s">
        <v>64</v>
      </c>
      <c r="Y3" s="14">
        <v>1564.02</v>
      </c>
      <c r="Z3" s="14">
        <v>86.89</v>
      </c>
    </row>
    <row r="4" spans="1:26" x14ac:dyDescent="0.3">
      <c r="A4" s="8" t="s">
        <v>209</v>
      </c>
      <c r="B4" s="14">
        <v>6722.63</v>
      </c>
      <c r="E4" t="str">
        <f>'Designed Data'!D8</f>
        <v>Item 57</v>
      </c>
      <c r="F4">
        <f>COUNTIF(salesTable[ITEM NAME],PivotTable!E4)</f>
        <v>3</v>
      </c>
      <c r="G4" s="8" t="s">
        <v>7</v>
      </c>
      <c r="H4" s="12">
        <v>12879.380000000005</v>
      </c>
      <c r="I4">
        <v>232</v>
      </c>
      <c r="J4" s="8" t="s">
        <v>7</v>
      </c>
      <c r="K4">
        <v>232</v>
      </c>
      <c r="L4" s="8" t="s">
        <v>7</v>
      </c>
      <c r="M4" s="14">
        <v>12879.380000000005</v>
      </c>
      <c r="N4" s="8" t="s">
        <v>15</v>
      </c>
      <c r="O4" s="14">
        <v>3325.98</v>
      </c>
      <c r="P4" s="8" t="s">
        <v>84</v>
      </c>
      <c r="Q4" s="14">
        <v>37.020000000000003</v>
      </c>
      <c r="R4" s="8" t="s">
        <v>37</v>
      </c>
      <c r="S4" s="14">
        <v>227.79000000000002</v>
      </c>
      <c r="T4" s="8" t="s">
        <v>7</v>
      </c>
      <c r="U4" s="10">
        <v>0.21436793700208659</v>
      </c>
      <c r="V4" s="8" t="s">
        <v>209</v>
      </c>
      <c r="W4">
        <v>110</v>
      </c>
      <c r="X4" s="8" t="s">
        <v>118</v>
      </c>
      <c r="Y4" s="14">
        <v>618.96</v>
      </c>
      <c r="Z4" s="14">
        <v>77.37</v>
      </c>
    </row>
    <row r="5" spans="1:26" x14ac:dyDescent="0.3">
      <c r="A5" s="8" t="s">
        <v>212</v>
      </c>
      <c r="B5" s="14">
        <v>3251.7100000000005</v>
      </c>
      <c r="E5" t="str">
        <f>'Designed Data'!D9</f>
        <v>Item 50</v>
      </c>
      <c r="F5">
        <f>COUNTIF(salesTable[ITEM NAME],PivotTable!E5)</f>
        <v>1</v>
      </c>
      <c r="G5" s="8" t="s">
        <v>16</v>
      </c>
      <c r="H5" s="12">
        <v>11368.069999999998</v>
      </c>
      <c r="I5">
        <v>202</v>
      </c>
      <c r="J5" s="8" t="s">
        <v>16</v>
      </c>
      <c r="K5">
        <v>202</v>
      </c>
      <c r="L5" s="8" t="s">
        <v>16</v>
      </c>
      <c r="M5" s="14">
        <v>11368.069999999998</v>
      </c>
      <c r="N5" s="8" t="s">
        <v>37</v>
      </c>
      <c r="O5" s="14">
        <v>3375.09</v>
      </c>
      <c r="P5" s="8" t="s">
        <v>41</v>
      </c>
      <c r="Q5" s="14">
        <v>34.04</v>
      </c>
      <c r="R5" s="8" t="s">
        <v>15</v>
      </c>
      <c r="S5" s="14">
        <v>219.76999999999998</v>
      </c>
      <c r="T5" s="8" t="s">
        <v>16</v>
      </c>
      <c r="U5" s="10">
        <v>0.18921327840278873</v>
      </c>
      <c r="V5" s="8" t="s">
        <v>212</v>
      </c>
      <c r="W5">
        <v>83</v>
      </c>
      <c r="X5" s="8" t="s">
        <v>17</v>
      </c>
      <c r="Y5" s="14">
        <v>246.18</v>
      </c>
      <c r="Z5" s="14">
        <v>41.03</v>
      </c>
    </row>
    <row r="6" spans="1:26" x14ac:dyDescent="0.3">
      <c r="A6" s="8" t="s">
        <v>213</v>
      </c>
      <c r="B6" s="14">
        <v>5526.7300000000005</v>
      </c>
      <c r="E6" t="str">
        <f>'Designed Data'!D10</f>
        <v>Item 23</v>
      </c>
      <c r="F6">
        <f>COUNTIF(salesTable[ITEM NAME],PivotTable!E6)</f>
        <v>1</v>
      </c>
      <c r="G6" s="8" t="s">
        <v>10</v>
      </c>
      <c r="H6" s="12">
        <v>11118.920000000002</v>
      </c>
      <c r="I6">
        <v>193</v>
      </c>
      <c r="J6" s="8" t="s">
        <v>10</v>
      </c>
      <c r="K6">
        <v>193</v>
      </c>
      <c r="L6" s="8" t="s">
        <v>10</v>
      </c>
      <c r="M6" s="14">
        <v>11118.920000000002</v>
      </c>
      <c r="N6" s="8" t="s">
        <v>23</v>
      </c>
      <c r="O6" s="14">
        <v>3719.6400000000003</v>
      </c>
      <c r="P6" s="8" t="s">
        <v>78</v>
      </c>
      <c r="Q6" s="14">
        <v>33.979999999999997</v>
      </c>
      <c r="R6" s="8" t="s">
        <v>137</v>
      </c>
      <c r="S6" s="14">
        <v>183.72</v>
      </c>
      <c r="T6" s="8" t="s">
        <v>10</v>
      </c>
      <c r="U6" s="10">
        <v>0.18506635739385283</v>
      </c>
      <c r="V6" s="8" t="s">
        <v>213</v>
      </c>
      <c r="W6">
        <v>88</v>
      </c>
      <c r="X6" s="8" t="s">
        <v>62</v>
      </c>
      <c r="Y6" s="14">
        <v>74.52</v>
      </c>
      <c r="Z6" s="14">
        <v>24.84</v>
      </c>
    </row>
    <row r="7" spans="1:26" x14ac:dyDescent="0.3">
      <c r="A7" s="8" t="s">
        <v>214</v>
      </c>
      <c r="B7" s="14">
        <v>2216.41</v>
      </c>
      <c r="E7" t="str">
        <f>'Designed Data'!D11</f>
        <v>Item 25</v>
      </c>
      <c r="F7">
        <f>COUNTIF(salesTable[ITEM NAME],PivotTable!E7)</f>
        <v>2</v>
      </c>
      <c r="T7" s="8" t="s">
        <v>190</v>
      </c>
      <c r="U7" s="10">
        <v>1</v>
      </c>
      <c r="V7" s="8" t="s">
        <v>214</v>
      </c>
      <c r="W7">
        <v>37</v>
      </c>
      <c r="X7" s="8" t="s">
        <v>81</v>
      </c>
      <c r="Y7" s="14">
        <v>1251.46</v>
      </c>
      <c r="Z7" s="14">
        <v>89.39</v>
      </c>
    </row>
    <row r="8" spans="1:26" x14ac:dyDescent="0.3">
      <c r="A8" s="8" t="s">
        <v>215</v>
      </c>
      <c r="B8" s="14">
        <v>1572.99</v>
      </c>
      <c r="E8" t="str">
        <f>'Designed Data'!D12</f>
        <v>Item 40</v>
      </c>
      <c r="F8">
        <f>COUNTIF(salesTable[ITEM NAME],PivotTable!E8)</f>
        <v>1</v>
      </c>
      <c r="J8" s="8" t="s">
        <v>201</v>
      </c>
      <c r="L8" s="8" t="s">
        <v>202</v>
      </c>
      <c r="N8" s="8" t="s">
        <v>204</v>
      </c>
      <c r="P8" s="8" t="s">
        <v>205</v>
      </c>
      <c r="R8" s="8" t="s">
        <v>203</v>
      </c>
      <c r="V8" s="8" t="s">
        <v>215</v>
      </c>
      <c r="W8">
        <v>64</v>
      </c>
      <c r="X8" s="8" t="s">
        <v>155</v>
      </c>
      <c r="Y8" s="14">
        <v>676.72</v>
      </c>
      <c r="Z8" s="14">
        <v>84.59</v>
      </c>
    </row>
    <row r="9" spans="1:26" x14ac:dyDescent="0.3">
      <c r="A9" s="8" t="s">
        <v>216</v>
      </c>
      <c r="B9" s="14">
        <v>4702.97</v>
      </c>
      <c r="C9" s="9" t="s">
        <v>218</v>
      </c>
      <c r="E9" t="str">
        <f>'Designed Data'!D13</f>
        <v>Item 10</v>
      </c>
      <c r="F9">
        <f>COUNTIF(salesTable[ITEM NAME],PivotTable!E9)</f>
        <v>5</v>
      </c>
      <c r="T9" s="8" t="s">
        <v>206</v>
      </c>
      <c r="V9" s="8" t="s">
        <v>216</v>
      </c>
      <c r="W9">
        <v>109</v>
      </c>
      <c r="X9" s="8" t="s">
        <v>79</v>
      </c>
      <c r="Y9" s="14">
        <v>359.38</v>
      </c>
      <c r="Z9" s="14">
        <v>21.14</v>
      </c>
    </row>
    <row r="10" spans="1:26" x14ac:dyDescent="0.3">
      <c r="A10" s="8" t="s">
        <v>217</v>
      </c>
      <c r="B10" s="14">
        <v>10118.070000000002</v>
      </c>
      <c r="E10" t="str">
        <f>'Designed Data'!D14</f>
        <v>Item 25</v>
      </c>
      <c r="F10">
        <f>COUNTIF(salesTable[ITEM NAME],PivotTable!E10)</f>
        <v>2</v>
      </c>
      <c r="V10" s="8" t="s">
        <v>217</v>
      </c>
      <c r="W10">
        <v>157</v>
      </c>
      <c r="X10" s="8" t="s">
        <v>162</v>
      </c>
      <c r="Y10" s="14">
        <v>102.19</v>
      </c>
      <c r="Z10" s="14">
        <v>9.2899999999999991</v>
      </c>
    </row>
    <row r="11" spans="1:26" x14ac:dyDescent="0.3">
      <c r="A11" s="8" t="s">
        <v>187</v>
      </c>
      <c r="B11" s="14">
        <v>3308.42</v>
      </c>
      <c r="E11" t="str">
        <f>'Designed Data'!D15</f>
        <v>Item 1</v>
      </c>
      <c r="F11">
        <f>COUNTIF(salesTable[ITEM NAME],PivotTable!E11)</f>
        <v>1</v>
      </c>
      <c r="V11" s="8" t="s">
        <v>187</v>
      </c>
      <c r="W11">
        <v>56</v>
      </c>
      <c r="X11" s="8" t="s">
        <v>100</v>
      </c>
      <c r="Y11" s="14">
        <v>610.80999999999995</v>
      </c>
      <c r="Z11" s="14">
        <v>35.93</v>
      </c>
    </row>
    <row r="12" spans="1:26" x14ac:dyDescent="0.3">
      <c r="A12" s="8" t="s">
        <v>188</v>
      </c>
      <c r="B12" s="14">
        <v>4075.6600000000003</v>
      </c>
      <c r="E12" t="str">
        <f>'Designed Data'!D16</f>
        <v>Item 44</v>
      </c>
      <c r="F12">
        <f>COUNTIF(salesTable[ITEM NAME],PivotTable!E12)</f>
        <v>1</v>
      </c>
      <c r="V12" s="8" t="s">
        <v>188</v>
      </c>
      <c r="W12">
        <v>63</v>
      </c>
      <c r="X12" s="8" t="s">
        <v>108</v>
      </c>
      <c r="Y12" s="14">
        <v>1715.2</v>
      </c>
      <c r="Z12" s="14">
        <v>85.76</v>
      </c>
    </row>
    <row r="13" spans="1:26" x14ac:dyDescent="0.3">
      <c r="A13" s="8" t="s">
        <v>189</v>
      </c>
      <c r="B13" s="14">
        <v>10189</v>
      </c>
      <c r="E13" t="str">
        <f>'Designed Data'!D17</f>
        <v>Item 99</v>
      </c>
      <c r="F13">
        <f>COUNTIF(salesTable[ITEM NAME],PivotTable!E13)</f>
        <v>2</v>
      </c>
      <c r="V13" s="8" t="s">
        <v>189</v>
      </c>
      <c r="W13">
        <v>161</v>
      </c>
      <c r="X13" s="8" t="s">
        <v>146</v>
      </c>
      <c r="Y13" s="14">
        <v>624.58000000000004</v>
      </c>
      <c r="Z13" s="14">
        <v>56.78</v>
      </c>
    </row>
    <row r="14" spans="1:26" x14ac:dyDescent="0.3">
      <c r="A14" s="8" t="s">
        <v>210</v>
      </c>
      <c r="B14" s="14">
        <v>2438.2400000000002</v>
      </c>
      <c r="E14" t="str">
        <f>'Designed Data'!D18</f>
        <v>Item 67</v>
      </c>
      <c r="F14">
        <f>COUNTIF(salesTable[ITEM NAME],PivotTable!E14)</f>
        <v>2</v>
      </c>
      <c r="V14" s="8" t="s">
        <v>210</v>
      </c>
      <c r="W14">
        <v>48</v>
      </c>
      <c r="X14" s="8" t="s">
        <v>141</v>
      </c>
      <c r="Y14" s="14">
        <v>1385.8</v>
      </c>
      <c r="Z14" s="14">
        <v>69.290000000000006</v>
      </c>
    </row>
    <row r="15" spans="1:26" x14ac:dyDescent="0.3">
      <c r="A15" s="8" t="s">
        <v>190</v>
      </c>
      <c r="B15" s="14">
        <v>60080.720000000008</v>
      </c>
      <c r="E15" t="str">
        <f>'Designed Data'!D19</f>
        <v>Item 71</v>
      </c>
      <c r="F15">
        <f>COUNTIF(salesTable[ITEM NAME],PivotTable!E15)</f>
        <v>2</v>
      </c>
      <c r="X15" s="8" t="s">
        <v>159</v>
      </c>
      <c r="Y15" s="14">
        <v>52.74</v>
      </c>
      <c r="Z15" s="14">
        <v>26.37</v>
      </c>
    </row>
    <row r="16" spans="1:26" x14ac:dyDescent="0.3">
      <c r="E16" t="str">
        <f>'Designed Data'!D20</f>
        <v>Item 34</v>
      </c>
      <c r="F16">
        <f>COUNTIF(salesTable[ITEM NAME],PivotTable!E16)</f>
        <v>1</v>
      </c>
      <c r="X16" s="8" t="s">
        <v>123</v>
      </c>
      <c r="Y16" s="14">
        <v>85.2</v>
      </c>
      <c r="Z16" s="14">
        <v>7.1</v>
      </c>
    </row>
    <row r="17" spans="1:26" x14ac:dyDescent="0.3">
      <c r="A17" s="8" t="s">
        <v>219</v>
      </c>
      <c r="E17" t="str">
        <f>'Designed Data'!D21</f>
        <v>Item 87</v>
      </c>
      <c r="F17">
        <f>COUNTIF(salesTable[ITEM NAME],PivotTable!E17)</f>
        <v>1</v>
      </c>
      <c r="X17" s="8" t="s">
        <v>122</v>
      </c>
      <c r="Y17" s="14">
        <v>1537.99</v>
      </c>
      <c r="Z17" s="14">
        <v>90.47</v>
      </c>
    </row>
    <row r="18" spans="1:26" x14ac:dyDescent="0.3">
      <c r="E18" t="str">
        <f>'Designed Data'!D22</f>
        <v>Item 17</v>
      </c>
      <c r="F18">
        <f>COUNTIF(salesTable[ITEM NAME],PivotTable!E18)</f>
        <v>3</v>
      </c>
      <c r="X18" s="8" t="s">
        <v>110</v>
      </c>
      <c r="Y18" s="14">
        <v>100.66</v>
      </c>
      <c r="Z18" s="14">
        <v>50.33</v>
      </c>
    </row>
    <row r="19" spans="1:26" x14ac:dyDescent="0.3">
      <c r="E19" t="str">
        <f>'Designed Data'!D23</f>
        <v>Item 91</v>
      </c>
      <c r="F19">
        <f>COUNTIF(salesTable[ITEM NAME],PivotTable!E19)</f>
        <v>1</v>
      </c>
      <c r="X19" s="8" t="s">
        <v>163</v>
      </c>
      <c r="Y19" s="14">
        <v>277.39999999999998</v>
      </c>
      <c r="Z19" s="14">
        <v>69.349999999999994</v>
      </c>
    </row>
    <row r="20" spans="1:26" x14ac:dyDescent="0.3">
      <c r="E20" t="str">
        <f>'Designed Data'!D24</f>
        <v>Item 36</v>
      </c>
      <c r="F20">
        <f>COUNTIF(salesTable[ITEM NAME],PivotTable!E20)</f>
        <v>1</v>
      </c>
      <c r="X20" s="8" t="s">
        <v>150</v>
      </c>
      <c r="Y20" s="14">
        <v>235.6</v>
      </c>
      <c r="Z20" s="14">
        <v>29.45</v>
      </c>
    </row>
    <row r="21" spans="1:26" x14ac:dyDescent="0.3">
      <c r="E21" t="str">
        <f>'Designed Data'!D25</f>
        <v>Item 54</v>
      </c>
      <c r="F21">
        <f>COUNTIF(salesTable[ITEM NAME],PivotTable!E21)</f>
        <v>2</v>
      </c>
      <c r="X21" s="8" t="s">
        <v>24</v>
      </c>
      <c r="Y21" s="14">
        <v>714.98</v>
      </c>
      <c r="Z21" s="14">
        <v>51.07</v>
      </c>
    </row>
    <row r="22" spans="1:26" x14ac:dyDescent="0.3">
      <c r="E22" t="str">
        <f>'Designed Data'!D26</f>
        <v>Item 65</v>
      </c>
      <c r="F22">
        <f>COUNTIF(salesTable[ITEM NAME],PivotTable!E22)</f>
        <v>1</v>
      </c>
      <c r="X22" s="8" t="s">
        <v>5</v>
      </c>
      <c r="Y22" s="14">
        <v>954.1</v>
      </c>
      <c r="Z22" s="14">
        <v>68.150000000000006</v>
      </c>
    </row>
    <row r="23" spans="1:26" x14ac:dyDescent="0.3">
      <c r="E23" t="str">
        <f>'Designed Data'!D27</f>
        <v>Item 11</v>
      </c>
      <c r="F23">
        <f>COUNTIF(salesTable[ITEM NAME],PivotTable!E23)</f>
        <v>1</v>
      </c>
      <c r="X23" s="8" t="s">
        <v>74</v>
      </c>
      <c r="Y23" s="14">
        <v>1027</v>
      </c>
      <c r="Z23" s="14">
        <v>79</v>
      </c>
    </row>
    <row r="24" spans="1:26" x14ac:dyDescent="0.3">
      <c r="E24" t="str">
        <f>'Designed Data'!D28</f>
        <v>Item 47</v>
      </c>
      <c r="F24">
        <f>COUNTIF(salesTable[ITEM NAME],PivotTable!E24)</f>
        <v>2</v>
      </c>
      <c r="X24" s="8" t="s">
        <v>102</v>
      </c>
      <c r="Y24" s="14">
        <v>1130.4000000000001</v>
      </c>
      <c r="Z24" s="14">
        <v>56.52</v>
      </c>
    </row>
    <row r="25" spans="1:26" x14ac:dyDescent="0.3">
      <c r="E25" t="str">
        <f>'Designed Data'!D29</f>
        <v>Item 84</v>
      </c>
      <c r="F25">
        <f>COUNTIF(salesTable[ITEM NAME],PivotTable!E25)</f>
        <v>1</v>
      </c>
      <c r="X25" s="8" t="s">
        <v>82</v>
      </c>
      <c r="Y25" s="14">
        <v>666.71</v>
      </c>
      <c r="Z25" s="14">
        <v>60.61</v>
      </c>
    </row>
    <row r="26" spans="1:26" x14ac:dyDescent="0.3">
      <c r="E26" t="str">
        <f>'Designed Data'!D30</f>
        <v>Item 37</v>
      </c>
      <c r="F26">
        <f>COUNTIF(salesTable[ITEM NAME],PivotTable!E26)</f>
        <v>2</v>
      </c>
      <c r="X26" s="8" t="s">
        <v>89</v>
      </c>
      <c r="Y26" s="14">
        <v>269.27999999999997</v>
      </c>
      <c r="Z26" s="14">
        <v>33.659999999999997</v>
      </c>
    </row>
    <row r="27" spans="1:26" x14ac:dyDescent="0.3">
      <c r="E27" t="str">
        <f>'Designed Data'!D31</f>
        <v>Item 3</v>
      </c>
      <c r="F27">
        <f>COUNTIF(salesTable[ITEM NAME],PivotTable!E27)</f>
        <v>3</v>
      </c>
      <c r="X27" s="8" t="s">
        <v>139</v>
      </c>
      <c r="Y27" s="14">
        <v>128.52000000000001</v>
      </c>
      <c r="Z27" s="14">
        <v>64.260000000000005</v>
      </c>
    </row>
    <row r="28" spans="1:26" x14ac:dyDescent="0.3">
      <c r="E28" t="str">
        <f>'Designed Data'!D32</f>
        <v>Item 33</v>
      </c>
      <c r="F28">
        <f>COUNTIF(salesTable[ITEM NAME],PivotTable!E28)</f>
        <v>3</v>
      </c>
      <c r="X28" s="8" t="s">
        <v>169</v>
      </c>
      <c r="Y28" s="14">
        <v>321.48</v>
      </c>
      <c r="Z28" s="14">
        <v>17.86</v>
      </c>
    </row>
    <row r="29" spans="1:26" x14ac:dyDescent="0.3">
      <c r="E29" t="str">
        <f>'Designed Data'!D33</f>
        <v>Item 52</v>
      </c>
      <c r="F29">
        <f>COUNTIF(salesTable[ITEM NAME],PivotTable!E29)</f>
        <v>1</v>
      </c>
      <c r="X29" s="8" t="s">
        <v>125</v>
      </c>
      <c r="Y29" s="14">
        <v>231.48</v>
      </c>
      <c r="Z29" s="14">
        <v>19.29</v>
      </c>
    </row>
    <row r="30" spans="1:26" x14ac:dyDescent="0.3">
      <c r="E30" t="str">
        <f>'Designed Data'!D34</f>
        <v>Item 3</v>
      </c>
      <c r="F30">
        <f>COUNTIF(salesTable[ITEM NAME],PivotTable!E30)</f>
        <v>3</v>
      </c>
      <c r="X30" s="8" t="s">
        <v>167</v>
      </c>
      <c r="Y30" s="14">
        <v>128.30000000000001</v>
      </c>
      <c r="Z30" s="14">
        <v>25.66</v>
      </c>
    </row>
    <row r="31" spans="1:26" x14ac:dyDescent="0.3">
      <c r="E31" t="str">
        <f>'Designed Data'!D35</f>
        <v>Item 96</v>
      </c>
      <c r="F31">
        <f>COUNTIF(salesTable[ITEM NAME],PivotTable!E31)</f>
        <v>3</v>
      </c>
      <c r="X31" s="8" t="s">
        <v>93</v>
      </c>
      <c r="Y31" s="14">
        <v>277.76</v>
      </c>
      <c r="Z31" s="14">
        <v>39.68</v>
      </c>
    </row>
    <row r="32" spans="1:26" x14ac:dyDescent="0.3">
      <c r="E32" t="str">
        <f>'Designed Data'!D36</f>
        <v>Item 29</v>
      </c>
      <c r="F32">
        <f>COUNTIF(salesTable[ITEM NAME],PivotTable!E32)</f>
        <v>1</v>
      </c>
      <c r="X32" s="8" t="s">
        <v>120</v>
      </c>
      <c r="Y32" s="14">
        <v>87</v>
      </c>
      <c r="Z32" s="14">
        <v>7.25</v>
      </c>
    </row>
    <row r="33" spans="5:26" x14ac:dyDescent="0.3">
      <c r="E33" t="str">
        <f>'Designed Data'!D37</f>
        <v>Item 27</v>
      </c>
      <c r="F33">
        <f>COUNTIF(salesTable[ITEM NAME],PivotTable!E33)</f>
        <v>2</v>
      </c>
      <c r="X33" s="8" t="s">
        <v>153</v>
      </c>
      <c r="Y33" s="14">
        <v>76.44</v>
      </c>
      <c r="Z33" s="14">
        <v>12.74</v>
      </c>
    </row>
    <row r="34" spans="5:26" x14ac:dyDescent="0.3">
      <c r="E34" t="str">
        <f>'Designed Data'!D38</f>
        <v>Item 59</v>
      </c>
      <c r="F34">
        <f>COUNTIF(salesTable[ITEM NAME],PivotTable!E34)</f>
        <v>1</v>
      </c>
      <c r="X34" s="8" t="s">
        <v>145</v>
      </c>
      <c r="Y34" s="14">
        <v>605.44000000000005</v>
      </c>
      <c r="Z34" s="14">
        <v>55.04</v>
      </c>
    </row>
    <row r="35" spans="5:26" x14ac:dyDescent="0.3">
      <c r="E35" t="str">
        <f>'Designed Data'!D39</f>
        <v>Item 45</v>
      </c>
      <c r="F35">
        <f>COUNTIF(salesTable[ITEM NAME],PivotTable!E35)</f>
        <v>1</v>
      </c>
      <c r="X35" s="8" t="s">
        <v>34</v>
      </c>
      <c r="Y35" s="14">
        <v>576.47</v>
      </c>
      <c r="Z35" s="14">
        <v>33.909999999999997</v>
      </c>
    </row>
    <row r="36" spans="5:26" x14ac:dyDescent="0.3">
      <c r="E36" t="str">
        <f>'Designed Data'!D40</f>
        <v>Item 86</v>
      </c>
      <c r="F36">
        <f>COUNTIF(salesTable[ITEM NAME],PivotTable!E36)</f>
        <v>2</v>
      </c>
      <c r="X36" s="8" t="s">
        <v>48</v>
      </c>
      <c r="Y36" s="14">
        <v>297.89999999999998</v>
      </c>
      <c r="Z36" s="14">
        <v>29.79</v>
      </c>
    </row>
    <row r="37" spans="5:26" x14ac:dyDescent="0.3">
      <c r="E37" t="str">
        <f>'Designed Data'!D41</f>
        <v>Item 31</v>
      </c>
      <c r="F37">
        <f>COUNTIF(salesTable[ITEM NAME],PivotTable!E37)</f>
        <v>2</v>
      </c>
      <c r="X37" s="8" t="s">
        <v>119</v>
      </c>
      <c r="Y37" s="14">
        <v>976.32</v>
      </c>
      <c r="Z37" s="14">
        <v>81.36</v>
      </c>
    </row>
    <row r="38" spans="5:26" x14ac:dyDescent="0.3">
      <c r="E38" t="str">
        <f>'Designed Data'!D42</f>
        <v>Item 78</v>
      </c>
      <c r="F38">
        <f>COUNTIF(salesTable[ITEM NAME],PivotTable!E38)</f>
        <v>3</v>
      </c>
      <c r="X38" s="8" t="s">
        <v>53</v>
      </c>
      <c r="Y38" s="14">
        <v>542.4</v>
      </c>
      <c r="Z38" s="14">
        <v>45.2</v>
      </c>
    </row>
    <row r="39" spans="5:26" x14ac:dyDescent="0.3">
      <c r="E39" t="str">
        <f>'Designed Data'!D43</f>
        <v>Item 56</v>
      </c>
      <c r="F39">
        <f>COUNTIF(salesTable[ITEM NAME],PivotTable!E39)</f>
        <v>1</v>
      </c>
      <c r="X39" s="8" t="s">
        <v>166</v>
      </c>
      <c r="Y39" s="14">
        <v>499.77</v>
      </c>
      <c r="Z39" s="14">
        <v>55.53</v>
      </c>
    </row>
    <row r="40" spans="5:26" x14ac:dyDescent="0.3">
      <c r="E40" t="str">
        <f>'Designed Data'!D44</f>
        <v>Item 3</v>
      </c>
      <c r="F40">
        <f>COUNTIF(salesTable[ITEM NAME],PivotTable!E40)</f>
        <v>3</v>
      </c>
      <c r="X40" s="8" t="s">
        <v>69</v>
      </c>
      <c r="Y40" s="14">
        <v>938.2</v>
      </c>
      <c r="Z40" s="14">
        <v>93.82</v>
      </c>
    </row>
    <row r="41" spans="5:26" x14ac:dyDescent="0.3">
      <c r="E41" t="str">
        <f>'Designed Data'!D45</f>
        <v>Item 67</v>
      </c>
      <c r="F41">
        <f>COUNTIF(salesTable[ITEM NAME],PivotTable!E41)</f>
        <v>2</v>
      </c>
      <c r="X41" s="8" t="s">
        <v>30</v>
      </c>
      <c r="Y41" s="14">
        <v>783.19</v>
      </c>
      <c r="Z41" s="14">
        <v>46.07</v>
      </c>
    </row>
    <row r="42" spans="5:26" x14ac:dyDescent="0.3">
      <c r="E42" t="str">
        <f>'Designed Data'!D46</f>
        <v>Item 8</v>
      </c>
      <c r="F42">
        <f>COUNTIF(salesTable[ITEM NAME],PivotTable!E42)</f>
        <v>2</v>
      </c>
      <c r="X42" s="8" t="s">
        <v>44</v>
      </c>
      <c r="Y42" s="14">
        <v>443.4</v>
      </c>
      <c r="Z42" s="14">
        <v>88.68</v>
      </c>
    </row>
    <row r="43" spans="5:26" x14ac:dyDescent="0.3">
      <c r="E43" t="str">
        <f>'Designed Data'!D47</f>
        <v>Item 17</v>
      </c>
      <c r="F43">
        <f>COUNTIF(salesTable[ITEM NAME],PivotTable!E43)</f>
        <v>3</v>
      </c>
      <c r="X43" s="8" t="s">
        <v>114</v>
      </c>
      <c r="Y43" s="14">
        <v>82.77</v>
      </c>
      <c r="Z43" s="14">
        <v>82.77</v>
      </c>
    </row>
    <row r="44" spans="5:26" x14ac:dyDescent="0.3">
      <c r="E44" t="str">
        <f>'Designed Data'!D48</f>
        <v>Item 17</v>
      </c>
      <c r="F44">
        <f>COUNTIF(salesTable[ITEM NAME],PivotTable!E44)</f>
        <v>3</v>
      </c>
      <c r="X44" s="8" t="s">
        <v>77</v>
      </c>
      <c r="Y44" s="14">
        <v>33.979999999999997</v>
      </c>
      <c r="Z44" s="14">
        <v>33.979999999999997</v>
      </c>
    </row>
    <row r="45" spans="5:26" x14ac:dyDescent="0.3">
      <c r="E45" t="str">
        <f>'Designed Data'!D49</f>
        <v>Item 38</v>
      </c>
      <c r="F45">
        <f>COUNTIF(salesTable[ITEM NAME],PivotTable!E45)</f>
        <v>1</v>
      </c>
      <c r="X45" s="8" t="s">
        <v>26</v>
      </c>
      <c r="Y45" s="14">
        <v>172.02</v>
      </c>
      <c r="Z45" s="14">
        <v>57.34</v>
      </c>
    </row>
    <row r="46" spans="5:26" x14ac:dyDescent="0.3">
      <c r="E46" t="str">
        <f>'Designed Data'!D50</f>
        <v>Item 32</v>
      </c>
      <c r="F46">
        <f>COUNTIF(salesTable[ITEM NAME],PivotTable!E46)</f>
        <v>1</v>
      </c>
      <c r="X46" s="8" t="s">
        <v>87</v>
      </c>
      <c r="Y46" s="14">
        <v>517.86</v>
      </c>
      <c r="Z46" s="14">
        <v>36.99</v>
      </c>
    </row>
    <row r="47" spans="5:26" x14ac:dyDescent="0.3">
      <c r="E47" t="str">
        <f>'Designed Data'!D51</f>
        <v>Item 86</v>
      </c>
      <c r="F47">
        <f>COUNTIF(salesTable[ITEM NAME],PivotTable!E47)</f>
        <v>2</v>
      </c>
      <c r="X47" s="8" t="s">
        <v>55</v>
      </c>
      <c r="Y47" s="14">
        <v>102</v>
      </c>
      <c r="Z47" s="14">
        <v>25.5</v>
      </c>
    </row>
    <row r="48" spans="5:26" x14ac:dyDescent="0.3">
      <c r="E48" t="str">
        <f>'Designed Data'!D52</f>
        <v>Item 31</v>
      </c>
      <c r="F48">
        <f>COUNTIF(salesTable[ITEM NAME],PivotTable!E48)</f>
        <v>2</v>
      </c>
      <c r="X48" s="8" t="s">
        <v>0</v>
      </c>
      <c r="Y48" s="14">
        <v>957.45</v>
      </c>
      <c r="Z48" s="14">
        <v>63.83</v>
      </c>
    </row>
    <row r="49" spans="5:26" x14ac:dyDescent="0.3">
      <c r="E49" t="str">
        <f>'Designed Data'!D53</f>
        <v>Item 61</v>
      </c>
      <c r="F49">
        <f>COUNTIF(salesTable[ITEM NAME],PivotTable!E49)</f>
        <v>1</v>
      </c>
      <c r="X49" s="8" t="s">
        <v>160</v>
      </c>
      <c r="Y49" s="14">
        <v>1821</v>
      </c>
      <c r="Z49" s="14">
        <v>91.05</v>
      </c>
    </row>
    <row r="50" spans="5:26" x14ac:dyDescent="0.3">
      <c r="E50" t="str">
        <f>'Designed Data'!D54</f>
        <v>Item 95</v>
      </c>
      <c r="F50">
        <f>COUNTIF(salesTable[ITEM NAME],PivotTable!E50)</f>
        <v>2</v>
      </c>
      <c r="X50" s="8" t="s">
        <v>3</v>
      </c>
      <c r="Y50" s="14">
        <v>74.48</v>
      </c>
      <c r="Z50" s="14">
        <v>37.24</v>
      </c>
    </row>
    <row r="51" spans="5:26" x14ac:dyDescent="0.3">
      <c r="E51" t="str">
        <f>'Designed Data'!D55</f>
        <v>Item 33</v>
      </c>
      <c r="F51">
        <f>COUNTIF(salesTable[ITEM NAME],PivotTable!E51)</f>
        <v>3</v>
      </c>
      <c r="X51" s="8" t="s">
        <v>158</v>
      </c>
      <c r="Y51" s="14">
        <v>612.55999999999995</v>
      </c>
      <c r="Z51" s="14">
        <v>47.12</v>
      </c>
    </row>
    <row r="52" spans="5:26" x14ac:dyDescent="0.3">
      <c r="E52" t="str">
        <f>'Designed Data'!D56</f>
        <v>Item 55</v>
      </c>
      <c r="F52">
        <f>COUNTIF(salesTable[ITEM NAME],PivotTable!E52)</f>
        <v>2</v>
      </c>
      <c r="X52" s="8" t="s">
        <v>161</v>
      </c>
      <c r="Y52" s="14">
        <v>259.5</v>
      </c>
      <c r="Z52" s="14">
        <v>25.95</v>
      </c>
    </row>
    <row r="53" spans="5:26" x14ac:dyDescent="0.3">
      <c r="E53" t="str">
        <f>'Designed Data'!D57</f>
        <v>Item 27</v>
      </c>
      <c r="F53">
        <f>COUNTIF(salesTable[ITEM NAME],PivotTable!E53)</f>
        <v>2</v>
      </c>
      <c r="X53" s="8" t="s">
        <v>71</v>
      </c>
      <c r="Y53" s="14">
        <v>1744.2</v>
      </c>
      <c r="Z53" s="14">
        <v>87.21</v>
      </c>
    </row>
    <row r="54" spans="5:26" x14ac:dyDescent="0.3">
      <c r="E54" t="str">
        <f>'Designed Data'!D58</f>
        <v>Item 10</v>
      </c>
      <c r="F54">
        <f>COUNTIF(salesTable[ITEM NAME],PivotTable!E54)</f>
        <v>5</v>
      </c>
      <c r="X54" s="8" t="s">
        <v>57</v>
      </c>
      <c r="Y54" s="14">
        <v>31.23</v>
      </c>
      <c r="Z54" s="14">
        <v>31.23</v>
      </c>
    </row>
    <row r="55" spans="5:26" x14ac:dyDescent="0.3">
      <c r="E55" t="str">
        <f>'Designed Data'!D59</f>
        <v>Item 2</v>
      </c>
      <c r="F55">
        <f>COUNTIF(salesTable[ITEM NAME],PivotTable!E55)</f>
        <v>2</v>
      </c>
      <c r="X55" s="8" t="s">
        <v>136</v>
      </c>
      <c r="Y55" s="14">
        <v>180.18</v>
      </c>
      <c r="Z55" s="14">
        <v>30.03</v>
      </c>
    </row>
    <row r="56" spans="5:26" x14ac:dyDescent="0.3">
      <c r="E56" t="str">
        <f>'Designed Data'!D60</f>
        <v>Item 5</v>
      </c>
      <c r="F56">
        <f>COUNTIF(salesTable[ITEM NAME],PivotTable!E56)</f>
        <v>1</v>
      </c>
      <c r="X56" s="8" t="s">
        <v>117</v>
      </c>
      <c r="Y56" s="14">
        <v>1370.46</v>
      </c>
      <c r="Z56" s="14">
        <v>97.89</v>
      </c>
    </row>
    <row r="57" spans="5:26" x14ac:dyDescent="0.3">
      <c r="E57" t="str">
        <f>'Designed Data'!D61</f>
        <v>Item 75</v>
      </c>
      <c r="F57">
        <f>COUNTIF(salesTable[ITEM NAME],PivotTable!E57)</f>
        <v>1</v>
      </c>
      <c r="X57" s="8" t="s">
        <v>98</v>
      </c>
      <c r="Y57" s="14">
        <v>214.55</v>
      </c>
      <c r="Z57" s="14">
        <v>30.65</v>
      </c>
    </row>
    <row r="58" spans="5:26" x14ac:dyDescent="0.3">
      <c r="E58" t="str">
        <f>'Designed Data'!D62</f>
        <v>Item 71</v>
      </c>
      <c r="F58">
        <f>COUNTIF(salesTable[ITEM NAME],PivotTable!E58)</f>
        <v>2</v>
      </c>
      <c r="X58" s="8" t="s">
        <v>76</v>
      </c>
      <c r="Y58" s="14">
        <v>36.94</v>
      </c>
      <c r="Z58" s="14">
        <v>18.47</v>
      </c>
    </row>
    <row r="59" spans="5:26" x14ac:dyDescent="0.3">
      <c r="E59" t="str">
        <f>'Designed Data'!D63</f>
        <v>Item 98</v>
      </c>
      <c r="F59">
        <f>COUNTIF(salesTable[ITEM NAME],PivotTable!E59)</f>
        <v>1</v>
      </c>
      <c r="X59" s="8" t="s">
        <v>38</v>
      </c>
      <c r="Y59" s="14">
        <v>251.3</v>
      </c>
      <c r="Z59" s="14">
        <v>50.26</v>
      </c>
    </row>
    <row r="60" spans="5:26" x14ac:dyDescent="0.3">
      <c r="E60" t="str">
        <f>'Designed Data'!D64</f>
        <v>Item 10</v>
      </c>
      <c r="F60">
        <f>COUNTIF(salesTable[ITEM NAME],PivotTable!E60)</f>
        <v>5</v>
      </c>
      <c r="X60" s="8" t="s">
        <v>19</v>
      </c>
      <c r="Y60" s="14">
        <v>525.54</v>
      </c>
      <c r="Z60" s="14">
        <v>27.66</v>
      </c>
    </row>
    <row r="61" spans="5:26" x14ac:dyDescent="0.3">
      <c r="E61" t="str">
        <f>'Designed Data'!D65</f>
        <v>Item 19</v>
      </c>
      <c r="F61">
        <f>COUNTIF(salesTable[ITEM NAME],PivotTable!E61)</f>
        <v>1</v>
      </c>
      <c r="X61" s="8" t="s">
        <v>91</v>
      </c>
      <c r="Y61" s="14">
        <v>144.9</v>
      </c>
      <c r="Z61" s="14">
        <v>8.0500000000000007</v>
      </c>
    </row>
    <row r="62" spans="5:26" x14ac:dyDescent="0.3">
      <c r="E62" t="str">
        <f>'Designed Data'!D66</f>
        <v>Item 47</v>
      </c>
      <c r="F62">
        <f>COUNTIF(salesTable[ITEM NAME],PivotTable!E62)</f>
        <v>2</v>
      </c>
      <c r="X62" s="8" t="s">
        <v>8</v>
      </c>
      <c r="Y62" s="14">
        <v>725.04</v>
      </c>
      <c r="Z62" s="14">
        <v>40.28</v>
      </c>
    </row>
    <row r="63" spans="5:26" x14ac:dyDescent="0.3">
      <c r="E63" t="str">
        <f>'Designed Data'!D67</f>
        <v>Item 2</v>
      </c>
      <c r="F63">
        <f>COUNTIF(salesTable[ITEM NAME],PivotTable!E63)</f>
        <v>2</v>
      </c>
      <c r="X63" s="8" t="s">
        <v>164</v>
      </c>
      <c r="Y63" s="14">
        <v>869.44</v>
      </c>
      <c r="Z63" s="14">
        <v>54.34</v>
      </c>
    </row>
    <row r="64" spans="5:26" x14ac:dyDescent="0.3">
      <c r="E64" t="str">
        <f>'Designed Data'!D68</f>
        <v>Item 72</v>
      </c>
      <c r="F64">
        <f>COUNTIF(salesTable[ITEM NAME],PivotTable!E64)</f>
        <v>1</v>
      </c>
      <c r="X64" s="8" t="s">
        <v>130</v>
      </c>
      <c r="Y64" s="14">
        <v>673.02</v>
      </c>
      <c r="Z64" s="14">
        <v>74.78</v>
      </c>
    </row>
    <row r="65" spans="5:26" x14ac:dyDescent="0.3">
      <c r="E65" t="str">
        <f>'Designed Data'!D69</f>
        <v>Item 95</v>
      </c>
      <c r="F65">
        <f>COUNTIF(salesTable[ITEM NAME],PivotTable!E65)</f>
        <v>2</v>
      </c>
      <c r="X65" s="8" t="s">
        <v>156</v>
      </c>
      <c r="Y65" s="14">
        <v>876.96</v>
      </c>
      <c r="Z65" s="14">
        <v>62.64</v>
      </c>
    </row>
    <row r="66" spans="5:26" x14ac:dyDescent="0.3">
      <c r="E66" t="str">
        <f>'Designed Data'!D70</f>
        <v>Item 7</v>
      </c>
      <c r="F66">
        <f>COUNTIF(salesTable[ITEM NAME],PivotTable!E66)</f>
        <v>2</v>
      </c>
      <c r="X66" s="8" t="s">
        <v>138</v>
      </c>
      <c r="Y66" s="14">
        <v>1582.72</v>
      </c>
      <c r="Z66" s="14">
        <v>98.92</v>
      </c>
    </row>
    <row r="67" spans="5:26" x14ac:dyDescent="0.3">
      <c r="E67" t="str">
        <f>'Designed Data'!D71</f>
        <v>Item 57</v>
      </c>
      <c r="F67">
        <f>COUNTIF(salesTable[ITEM NAME],PivotTable!E67)</f>
        <v>3</v>
      </c>
      <c r="X67" s="8" t="s">
        <v>104</v>
      </c>
      <c r="Y67" s="14">
        <v>1073.5999999999999</v>
      </c>
      <c r="Z67" s="14">
        <v>97.6</v>
      </c>
    </row>
    <row r="68" spans="5:26" x14ac:dyDescent="0.3">
      <c r="X68" s="8" t="s">
        <v>97</v>
      </c>
      <c r="Y68" s="14">
        <v>64.260000000000005</v>
      </c>
      <c r="Z68" s="14">
        <v>21.42</v>
      </c>
    </row>
    <row r="69" spans="5:26" x14ac:dyDescent="0.3">
      <c r="X69" s="8" t="s">
        <v>11</v>
      </c>
      <c r="Y69" s="14">
        <v>123.84</v>
      </c>
      <c r="Z69" s="14">
        <v>6.88</v>
      </c>
    </row>
    <row r="70" spans="5:26" x14ac:dyDescent="0.3">
      <c r="X70" s="8" t="s">
        <v>148</v>
      </c>
      <c r="Y70" s="14">
        <v>59.54</v>
      </c>
      <c r="Z70" s="14">
        <v>29.77</v>
      </c>
    </row>
    <row r="71" spans="5:26" x14ac:dyDescent="0.3">
      <c r="X71" s="8" t="s">
        <v>61</v>
      </c>
      <c r="Y71" s="14">
        <v>603.96</v>
      </c>
      <c r="Z71" s="14">
        <v>50.33</v>
      </c>
    </row>
    <row r="72" spans="5:26" x14ac:dyDescent="0.3">
      <c r="X72" s="8" t="s">
        <v>51</v>
      </c>
      <c r="Y72" s="14">
        <v>186.26</v>
      </c>
      <c r="Z72" s="14">
        <v>93.13</v>
      </c>
    </row>
    <row r="73" spans="5:26" x14ac:dyDescent="0.3">
      <c r="X73" s="8" t="s">
        <v>134</v>
      </c>
      <c r="Y73" s="14">
        <v>899.16</v>
      </c>
      <c r="Z73" s="14">
        <v>74.930000000000007</v>
      </c>
    </row>
    <row r="74" spans="5:26" x14ac:dyDescent="0.3">
      <c r="X74" s="8" t="s">
        <v>151</v>
      </c>
      <c r="Y74" s="14">
        <v>362.95</v>
      </c>
      <c r="Z74" s="14">
        <v>51.85</v>
      </c>
    </row>
    <row r="75" spans="5:26" x14ac:dyDescent="0.3">
      <c r="X75" s="8" t="s">
        <v>36</v>
      </c>
      <c r="Y75" s="14">
        <v>1748.52</v>
      </c>
      <c r="Z75" s="14">
        <v>97.14</v>
      </c>
    </row>
    <row r="76" spans="5:26" x14ac:dyDescent="0.3">
      <c r="X76" s="8" t="s">
        <v>157</v>
      </c>
      <c r="Y76" s="14">
        <v>1111.8599999999999</v>
      </c>
      <c r="Z76" s="14">
        <v>61.77</v>
      </c>
    </row>
    <row r="77" spans="5:26" x14ac:dyDescent="0.3">
      <c r="X77" s="8" t="s">
        <v>152</v>
      </c>
      <c r="Y77" s="14">
        <v>70.09</v>
      </c>
      <c r="Z77" s="14">
        <v>70.09</v>
      </c>
    </row>
    <row r="78" spans="5:26" x14ac:dyDescent="0.3">
      <c r="X78" s="8" t="s">
        <v>32</v>
      </c>
      <c r="Y78" s="14">
        <v>185.28</v>
      </c>
      <c r="Z78" s="14">
        <v>92.64</v>
      </c>
    </row>
    <row r="79" spans="5:26" x14ac:dyDescent="0.3">
      <c r="X79" s="8" t="s">
        <v>95</v>
      </c>
      <c r="Y79" s="14">
        <v>863.74</v>
      </c>
      <c r="Z79" s="14">
        <v>45.46</v>
      </c>
    </row>
    <row r="80" spans="5:26" x14ac:dyDescent="0.3">
      <c r="X80" s="8" t="s">
        <v>21</v>
      </c>
      <c r="Y80" s="14">
        <v>1286.72</v>
      </c>
      <c r="Z80" s="14">
        <v>80.42</v>
      </c>
    </row>
    <row r="81" spans="24:26" x14ac:dyDescent="0.3">
      <c r="X81" s="8" t="s">
        <v>127</v>
      </c>
      <c r="Y81" s="14">
        <v>1372.28</v>
      </c>
      <c r="Z81" s="14">
        <v>98.02</v>
      </c>
    </row>
    <row r="82" spans="24:26" x14ac:dyDescent="0.3">
      <c r="X82" s="8" t="s">
        <v>143</v>
      </c>
      <c r="Y82" s="14">
        <v>37.56</v>
      </c>
      <c r="Z82" s="14">
        <v>9.39</v>
      </c>
    </row>
    <row r="83" spans="24:26" x14ac:dyDescent="0.3">
      <c r="X83" s="8" t="s">
        <v>49</v>
      </c>
      <c r="Y83" s="14">
        <v>339.03</v>
      </c>
      <c r="Z83" s="14">
        <v>37.67</v>
      </c>
    </row>
    <row r="84" spans="24:26" x14ac:dyDescent="0.3">
      <c r="X84" s="8" t="s">
        <v>116</v>
      </c>
      <c r="Y84" s="14">
        <v>716.08</v>
      </c>
      <c r="Z84" s="14">
        <v>89.51</v>
      </c>
    </row>
    <row r="85" spans="24:26" x14ac:dyDescent="0.3">
      <c r="X85" s="8" t="s">
        <v>85</v>
      </c>
      <c r="Y85" s="14">
        <v>698.02</v>
      </c>
      <c r="Z85" s="14">
        <v>41.06</v>
      </c>
    </row>
    <row r="86" spans="24:26" x14ac:dyDescent="0.3">
      <c r="X86" s="8" t="s">
        <v>14</v>
      </c>
      <c r="Y86" s="14">
        <v>1657.62</v>
      </c>
      <c r="Z86" s="14">
        <v>92.09</v>
      </c>
    </row>
    <row r="87" spans="24:26" x14ac:dyDescent="0.3">
      <c r="X87" s="8" t="s">
        <v>72</v>
      </c>
      <c r="Y87" s="14">
        <v>816</v>
      </c>
      <c r="Z87" s="14">
        <v>68</v>
      </c>
    </row>
    <row r="88" spans="24:26" x14ac:dyDescent="0.3">
      <c r="X88" s="8" t="s">
        <v>106</v>
      </c>
      <c r="Y88" s="14">
        <v>175.14</v>
      </c>
      <c r="Z88" s="14">
        <v>12.51</v>
      </c>
    </row>
    <row r="89" spans="24:26" x14ac:dyDescent="0.3">
      <c r="X89" s="8" t="s">
        <v>46</v>
      </c>
      <c r="Y89" s="14">
        <v>798.85</v>
      </c>
      <c r="Z89" s="14">
        <v>61.45</v>
      </c>
    </row>
    <row r="90" spans="24:26" x14ac:dyDescent="0.3">
      <c r="X90" s="8" t="s">
        <v>83</v>
      </c>
      <c r="Y90" s="14">
        <v>37.020000000000003</v>
      </c>
      <c r="Z90" s="14">
        <v>18.510000000000002</v>
      </c>
    </row>
    <row r="91" spans="24:26" x14ac:dyDescent="0.3">
      <c r="X91" s="8" t="s">
        <v>59</v>
      </c>
      <c r="Y91" s="14">
        <v>1576.67</v>
      </c>
      <c r="Z91" s="14">
        <v>184.81</v>
      </c>
    </row>
    <row r="92" spans="24:26" x14ac:dyDescent="0.3">
      <c r="X92" s="8" t="s">
        <v>111</v>
      </c>
      <c r="Y92" s="14">
        <v>1126.8</v>
      </c>
      <c r="Z92" s="14">
        <v>75.12</v>
      </c>
    </row>
    <row r="93" spans="24:26" x14ac:dyDescent="0.3">
      <c r="X93" s="8" t="s">
        <v>28</v>
      </c>
      <c r="Y93" s="14">
        <v>703.95</v>
      </c>
      <c r="Z93" s="14">
        <v>37.049999999999997</v>
      </c>
    </row>
    <row r="94" spans="24:26" x14ac:dyDescent="0.3">
      <c r="X94" s="8" t="s">
        <v>132</v>
      </c>
      <c r="Y94" s="14">
        <v>51.2</v>
      </c>
      <c r="Z94" s="14">
        <v>6.4</v>
      </c>
    </row>
    <row r="95" spans="24:26" x14ac:dyDescent="0.3">
      <c r="X95" s="8" t="s">
        <v>40</v>
      </c>
      <c r="Y95" s="14">
        <v>34.04</v>
      </c>
      <c r="Z95" s="14">
        <v>34.04</v>
      </c>
    </row>
    <row r="96" spans="24:26" x14ac:dyDescent="0.3">
      <c r="X96" s="8" t="s">
        <v>68</v>
      </c>
      <c r="Y96" s="14">
        <v>571.20000000000005</v>
      </c>
      <c r="Z96" s="14">
        <v>28.56</v>
      </c>
    </row>
    <row r="97" spans="24:26" x14ac:dyDescent="0.3">
      <c r="X97" s="8" t="s">
        <v>66</v>
      </c>
      <c r="Y97" s="14">
        <v>294.48</v>
      </c>
      <c r="Z97" s="14">
        <v>98.16</v>
      </c>
    </row>
    <row r="98" spans="24:26" x14ac:dyDescent="0.3">
      <c r="X98" s="8" t="s">
        <v>128</v>
      </c>
      <c r="Y98" s="14">
        <v>197.96</v>
      </c>
      <c r="Z98" s="14">
        <v>28.28</v>
      </c>
    </row>
    <row r="99" spans="24:26" x14ac:dyDescent="0.3">
      <c r="X99" s="8" t="s">
        <v>22</v>
      </c>
      <c r="Y99" s="14">
        <v>1119.5999999999999</v>
      </c>
      <c r="Z99" s="14">
        <v>74.64</v>
      </c>
    </row>
    <row r="100" spans="24:26" x14ac:dyDescent="0.3">
      <c r="X100" s="8" t="s">
        <v>112</v>
      </c>
      <c r="Y100" s="14">
        <v>185.52</v>
      </c>
      <c r="Z100" s="14">
        <v>15.46</v>
      </c>
    </row>
  </sheetData>
  <pageMargins left="0.7" right="0.7" top="0.75" bottom="0.75" header="0.3" footer="0.3"/>
  <tableParts count="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BA2B3BE-02FE-4994-A720-BAA450C7A0F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Designed Data</vt:lpstr>
      <vt:lpstr>Dashboard</vt:lpstr>
      <vt:lpstr>PivotTable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Oosterman</dc:creator>
  <cp:lastModifiedBy>Joshua Oosterman</cp:lastModifiedBy>
  <dcterms:created xsi:type="dcterms:W3CDTF">2025-01-17T17:51:12Z</dcterms:created>
  <dcterms:modified xsi:type="dcterms:W3CDTF">2025-05-16T22:37:07Z</dcterms:modified>
</cp:coreProperties>
</file>